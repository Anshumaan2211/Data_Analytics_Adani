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7\Downloads\"/>
    </mc:Choice>
  </mc:AlternateContent>
  <xr:revisionPtr revIDLastSave="0" documentId="13_ncr:1_{F7225F01-0139-4644-A8D9-B55FD9F41E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</sheet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L2" i="2"/>
  <c r="N19" i="2" s="1" a="1"/>
  <c r="N19" i="2" s="1"/>
  <c r="O22" i="2"/>
  <c r="N3" i="2"/>
  <c r="N4" i="2"/>
  <c r="N5" i="2"/>
  <c r="N6" i="2"/>
  <c r="N7" i="2"/>
  <c r="N2" i="2"/>
  <c r="I6" i="4"/>
  <c r="I3" i="4"/>
  <c r="I4" i="4"/>
  <c r="I5" i="4"/>
  <c r="G12" i="4"/>
  <c r="I2" i="4"/>
  <c r="G11" i="4" l="1"/>
  <c r="G10" i="4"/>
  <c r="G9" i="4"/>
  <c r="H3" i="4"/>
  <c r="H4" i="4"/>
  <c r="H5" i="4"/>
  <c r="H6" i="4"/>
  <c r="H2" i="4"/>
  <c r="I2" i="2"/>
  <c r="J2" i="2" s="1"/>
  <c r="G3" i="4"/>
  <c r="G4" i="4"/>
  <c r="G5" i="4"/>
  <c r="G6" i="4"/>
  <c r="G2" i="4"/>
  <c r="K3" i="2"/>
  <c r="K4" i="2"/>
  <c r="K5" i="2"/>
  <c r="K6" i="2"/>
  <c r="K7" i="2"/>
  <c r="K2" i="2"/>
  <c r="L3" i="2"/>
  <c r="L4" i="2"/>
  <c r="L5" i="2"/>
  <c r="L6" i="2"/>
  <c r="L7" i="2"/>
  <c r="J10" i="2"/>
  <c r="H2" i="2"/>
  <c r="H3" i="2"/>
  <c r="I3" i="2" s="1"/>
  <c r="J3" i="2" s="1"/>
  <c r="H4" i="2"/>
  <c r="I4" i="2" s="1"/>
  <c r="J4" i="2" s="1"/>
  <c r="H5" i="2"/>
  <c r="H6" i="2"/>
  <c r="I6" i="2" s="1"/>
  <c r="J6" i="2" s="1"/>
  <c r="H7" i="2"/>
  <c r="I7" i="2" s="1"/>
  <c r="J7" i="2" s="1"/>
  <c r="J32" i="5"/>
  <c r="I5" i="2" l="1"/>
  <c r="J5" i="2" s="1"/>
  <c r="C14" i="2"/>
  <c r="C13" i="2"/>
  <c r="C15" i="2"/>
  <c r="A19" i="2" l="1" a="1"/>
  <c r="A19" i="2" s="1"/>
  <c r="F13" i="2"/>
  <c r="F14" i="2"/>
  <c r="J9" i="2"/>
  <c r="C1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<sst xmlns="http://schemas.openxmlformats.org/spreadsheetml/2006/main" count="124" uniqueCount="101">
  <si>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</si>
  <si>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</si>
  <si>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</si>
  <si>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</si>
  <si>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</si>
  <si>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</si>
  <si>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</si>
  <si>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</si>
  <si>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</si>
  <si>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</si>
  <si>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</si>
  <si>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</si>
  <si>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</si>
  <si>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</si>
  <si>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</si>
  <si>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</si>
  <si>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</si>
  <si>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</si>
  <si>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</si>
  <si>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</si>
  <si>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</si>
  <si>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</si>
  <si>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</si>
  <si>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</si>
  <si>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</si>
  <si>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</si>
  <si>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</si>
  <si>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</si>
  <si>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</si>
  <si>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</si>
  <si>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</si>
  <si>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</si>
  <si>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</si>
  <si>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</si>
  <si>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</si>
  <si>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</si>
  <si>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</si>
  <si>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</si>
  <si>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</si>
  <si>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</si>
  <si>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</si>
  <si>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</si>
  <si>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</si>
  <si>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</si>
  <si>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</si>
  <si>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</si>
  <si>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</si>
  <si>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</si>
  <si>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</si>
  <si>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</si>
  <si>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</si>
  <si>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</si>
  <si>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</si>
  <si>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</si>
  <si>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</si>
  <si>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</si>
  <si>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</si>
  <si>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</si>
  <si>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</si>
  <si>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</si>
  <si>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</si>
  <si>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</si>
  <si>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</si>
  <si>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</si>
  <si>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</si>
  <si>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</si>
  <si>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</si>
  <si>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</si>
  <si>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</si>
  <si>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</si>
  <si>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</si>
  <si>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</si>
  <si>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</si>
  <si>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</t>
  </si>
  <si>
    <t>category</t>
  </si>
  <si>
    <t>gst</t>
  </si>
  <si>
    <t>Total amount</t>
  </si>
  <si>
    <t>Grand total</t>
  </si>
  <si>
    <t>Total orders</t>
  </si>
  <si>
    <t>North sales</t>
  </si>
  <si>
    <t>South sales</t>
  </si>
  <si>
    <t>West sales</t>
  </si>
  <si>
    <t>east sales</t>
  </si>
  <si>
    <t>Qty_status</t>
  </si>
  <si>
    <t>Max amount</t>
  </si>
  <si>
    <t>Min amount</t>
  </si>
  <si>
    <t>Month</t>
  </si>
  <si>
    <t>Avg marks</t>
  </si>
  <si>
    <t>Topper</t>
  </si>
  <si>
    <t>Total regular students</t>
  </si>
  <si>
    <t>Eligiblity</t>
  </si>
  <si>
    <t>Grand Total</t>
  </si>
  <si>
    <t>Total_sales</t>
  </si>
  <si>
    <t>Regin</t>
  </si>
  <si>
    <t>Median</t>
  </si>
  <si>
    <t>Standard dev</t>
  </si>
  <si>
    <t>Concate</t>
  </si>
  <si>
    <t>Sales_p</t>
  </si>
  <si>
    <t>filter</t>
  </si>
  <si>
    <t>countifs</t>
  </si>
  <si>
    <t>INDEX(A2:L7,MATCH(Sales_Data!D2,Product_Master!B2:B4,2))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</si>
</sst>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(2).xlsx]Sales_Data!PivotTable2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Sales_Data!$S$1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Sales_Data!$R$2:$R$5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Sales_Data!$S$2:$S$5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5-4804-A41F-1990A672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Student_Marks!$B$2:$B$6</c:f>
              <c:strCache>
                <c:ptCount val="5"/>
                <c:pt idx="0">
                  <c:v>Rahul</c:v>
                </c:pt>
                <c:pt idx="1">
                  <c:v>Sneha</c:v>
                </c:pt>
                <c:pt idx="2">
                  <c:v>Arjun</c:v>
                </c:pt>
                <c:pt idx="3">
                  <c:v>Pooja</c:v>
                </c:pt>
                <c:pt idx="4">
                  <c:v>Vikas</c:v>
                </c:pt>
              </c:strCache>
            </c:strRef>
          </c:cat>
          <c:val>
            <c:numRef>
              <c:f>Student_Marks!$E$2:$E$6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8-4ADF-BEAF-1B3057051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1377263"/>
        <c:axId val="341386415"/>
      </c:barChart>
      <c:catAx>
        <c:axId val="34137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86415"/>
        <c:crosses val="autoZero"/>
        <c:auto val="1"/>
        <c:lblAlgn val="ctr"/>
        <c:lblOffset val="100"/>
        <c:noMultiLvlLbl val="0"/>
      </c:catAx>
      <c:valAx>
        <c:axId val="34138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7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183929</xdr:colOff>
      <xdr:row>0</xdr:row>
      <xdr:rowOff>0</xdr:rowOff>
    </xdr:from>
    <xdr:to>
      <xdr:col>22</xdr:col>
      <xdr:colOff>131377</xdr:colOff>
      <xdr:row>5</xdr:row>
      <xdr:rowOff>98533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4688F-5F01-24C5-F311-EC279B677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275896</xdr:colOff>
      <xdr:row>0</xdr:row>
      <xdr:rowOff>0</xdr:rowOff>
    </xdr:from>
    <xdr:to>
      <xdr:col>14</xdr:col>
      <xdr:colOff>505809</xdr:colOff>
      <xdr:row>10</xdr:row>
      <xdr:rowOff>153056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2DB2E-B39A-91BE-71A9-C9AAFB097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7" refreshedDate="46166.657478356479" createdVersion="8" refreshedVersion="8" minRefreshableVersion="3" recordCount="6" xr:uid="{BD3D2AB8-BBDB-438E-9F15-1E1CA0600E3A}">
  <cacheSource type="worksheet">
    <worksheetSource ref="A1:L7" sheet="Sales_Data"/>
  </cacheSource>
  <cacheFields count="12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  <cacheField name="gst" numFmtId="0">
      <sharedItems containsSemiMixedTypes="0" containsString="0" containsNumber="1" containsInteger="1" minValue="6480" maxValue="16200"/>
    </cacheField>
    <cacheField name="Total amount" numFmtId="0">
      <sharedItems containsSemiMixedTypes="0" containsString="0" containsNumber="1" containsInteger="1" minValue="53100" maxValue="106200"/>
    </cacheField>
    <cacheField name="Qty_status" numFmtId="0">
      <sharedItems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  <n v="16200"/>
    <n v="106200"/>
    <s v="low"/>
    <s v="January"/>
  </r>
  <r>
    <n v="302"/>
    <x v="1"/>
    <s v="Riya"/>
    <x v="1"/>
    <n v="5"/>
    <n v="15000"/>
    <s v="07-01-2025"/>
    <n v="75000"/>
    <n v="9000"/>
    <n v="84000"/>
    <s v="High"/>
    <s v="January"/>
  </r>
  <r>
    <n v="303"/>
    <x v="2"/>
    <s v="Kunal"/>
    <x v="2"/>
    <n v="3"/>
    <n v="18000"/>
    <s v="10-01-2025"/>
    <n v="54000"/>
    <n v="6480"/>
    <n v="60480"/>
    <s v="low"/>
    <s v="January"/>
  </r>
  <r>
    <n v="304"/>
    <x v="3"/>
    <s v="Neha"/>
    <x v="0"/>
    <n v="1"/>
    <n v="45000"/>
    <s v="12-01-2025"/>
    <n v="45000"/>
    <n v="8100"/>
    <n v="53100"/>
    <s v="low"/>
    <s v="January"/>
  </r>
  <r>
    <n v="305"/>
    <x v="0"/>
    <s v="Amit"/>
    <x v="1"/>
    <n v="4"/>
    <n v="15000"/>
    <s v="15-01-2025"/>
    <n v="60000"/>
    <n v="7200"/>
    <n v="67200"/>
    <s v="High"/>
    <s v="January"/>
  </r>
  <r>
    <n v="306"/>
    <x v="1"/>
    <s v="Riya"/>
    <x v="0"/>
    <n v="2"/>
    <n v="45000"/>
    <s v="18-01-2025"/>
    <n v="90000"/>
    <n v="16200"/>
    <n v="106200"/>
    <s v="low"/>
    <s v="Jan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8BB43-F5C2-4EF7-8F4D-4372A7B91D50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n">
  <location ref="R8:S13" firstHeaderRow="1" firstDataRow="1" firstDataCol="1"/>
  <pivotFields count="12"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_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A6194-A684-4793-990A-1C503625B40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>
  <location ref="R1:S5" firstHeaderRow="1" firstDataRow="1" firstDataCol="1"/>
  <pivotFields count="12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_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5"/>
  <sheetViews>
    <sheetView tabSelected="1" zoomScale="145" zoomScaleNormal="145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2" max="2" width="11" bestFit="1" customWidth="1"/>
    <col min="3" max="3" width="11.7109375" bestFit="1" customWidth="1"/>
    <col min="4" max="4" width="9.42578125" bestFit="1" customWidth="1"/>
    <col min="5" max="5" width="12" bestFit="1" customWidth="1"/>
    <col min="7" max="7" width="10.7109375" bestFit="1" customWidth="1"/>
    <col min="9" max="9" width="10.85546875" bestFit="1" customWidth="1"/>
    <col min="10" max="10" width="12.7109375" bestFit="1" customWidth="1"/>
    <col min="11" max="11" width="10.5703125" bestFit="1" customWidth="1"/>
    <col min="18" max="18" width="11.28515625" bestFit="1" customWidth="1"/>
    <col min="19" max="19" width="10.85546875" bestFit="1" customWidth="1"/>
  </cols>
  <sheetData>
    <row r="1" spans="1:1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73</v>
      </c>
      <c r="I1" t="s">
        <v>75</v>
      </c>
      <c r="J1" t="s">
        <v>76</v>
      </c>
      <c r="K1" t="s">
        <v>83</v>
      </c>
      <c r="L1" t="s">
        <v>86</v>
      </c>
      <c r="M1" t="s">
        <v>74</v>
      </c>
      <c r="N1" t="s">
        <v>97</v>
      </c>
      <c r="R1" s="3" t="s">
        <v>7</v>
      </c>
      <c r="S1" t="s">
        <v>92</v>
      </c>
    </row>
    <row r="2" spans="1:19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>
        <f>(E2*F2)</f>
        <v>90000</v>
      </c>
      <c r="I2">
        <f>VLOOKUP(D2,Product_Master!$A$2:$C$4,3,0)/100*H2</f>
        <v>16200</v>
      </c>
      <c r="J2">
        <f>H2+I2</f>
        <v>106200</v>
      </c>
      <c r="K2" t="str">
        <f>IF(E2&gt;3,"High",IF(E2&lt;=3,"low"))</f>
        <v>low</v>
      </c>
      <c r="L2" t="str">
        <f>TEXT(G2,"mmmm")</f>
        <v>January</v>
      </c>
      <c r="M2" t="s">
        <v>100</v>
      </c>
      <c r="N2" t="str">
        <f>LEFT(C2,2)</f>
        <v>Am</v>
      </c>
      <c r="R2" s="4" t="s">
        <v>13</v>
      </c>
      <c r="S2" s="5">
        <v>225000</v>
      </c>
    </row>
    <row r="3" spans="1:19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f>(E3*F3)</f>
        <v>75000</v>
      </c>
      <c r="I3">
        <f>VLOOKUP(D3,Product_Master!$A$2:$C$4,3,0)/100*H3</f>
        <v>9000</v>
      </c>
      <c r="J3">
        <f t="shared" ref="J3:J7" si="0">H3+I3</f>
        <v>84000</v>
      </c>
      <c r="K3" t="str">
        <f>IF(E3&gt;3,"High",IF(E3&lt;=3,"low"))</f>
        <v>High</v>
      </c>
      <c r="L3" t="str">
        <f t="shared" ref="L3:L7" si="1">TEXT(G3,"mmmm")</f>
        <v>January</v>
      </c>
      <c r="M3" t="str">
        <f>INDEX(A3:L8,MATCH(Sales_Data!D3,Sales_Data!D3:D8,0),4)</f>
        <v>Mobile</v>
      </c>
      <c r="N3" t="str">
        <f t="shared" ref="N3:N7" si="2">LEFT(C3,2)</f>
        <v>Ri</v>
      </c>
      <c r="R3" s="4" t="s">
        <v>17</v>
      </c>
      <c r="S3" s="5">
        <v>135000</v>
      </c>
    </row>
    <row r="4" spans="1:19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f>(E4*F4)</f>
        <v>54000</v>
      </c>
      <c r="I4">
        <f>VLOOKUP(D4,Product_Master!$A$2:$C$4,3,0)/100*H4</f>
        <v>6480</v>
      </c>
      <c r="J4">
        <f t="shared" si="0"/>
        <v>60480</v>
      </c>
      <c r="K4" t="str">
        <f>IF(E4&gt;3,"High",IF(E4&lt;=3,"low"))</f>
        <v>low</v>
      </c>
      <c r="L4" t="str">
        <f t="shared" si="1"/>
        <v>January</v>
      </c>
      <c r="M4" t="str">
        <f>INDEX(A4:L9,MATCH(Sales_Data!D4,Sales_Data!D4:D9,0),4)</f>
        <v>Tablet</v>
      </c>
      <c r="N4" t="str">
        <f t="shared" si="2"/>
        <v>Ku</v>
      </c>
      <c r="R4" s="4" t="s">
        <v>21</v>
      </c>
      <c r="S4" s="5">
        <v>54000</v>
      </c>
    </row>
    <row r="5" spans="1:19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f>(E5*F5)</f>
        <v>45000</v>
      </c>
      <c r="I5">
        <f>VLOOKUP(D5,Product_Master!$A$2:$C$4,3,0)/100*H5</f>
        <v>8100</v>
      </c>
      <c r="J5">
        <f t="shared" si="0"/>
        <v>53100</v>
      </c>
      <c r="K5" t="str">
        <f>IF(E5&gt;3,"High",IF(E5&lt;=3,"low"))</f>
        <v>low</v>
      </c>
      <c r="L5" t="str">
        <f t="shared" si="1"/>
        <v>January</v>
      </c>
      <c r="M5" t="str">
        <f>INDEX(A5:L10,MATCH(Sales_Data!D5,Sales_Data!D5:D10,0),4)</f>
        <v>Laptop</v>
      </c>
      <c r="N5" t="str">
        <f t="shared" si="2"/>
        <v>Ne</v>
      </c>
      <c r="R5" s="4" t="s">
        <v>91</v>
      </c>
      <c r="S5" s="5">
        <v>414000</v>
      </c>
    </row>
    <row r="6" spans="1:19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f>(E6*F6)</f>
        <v>60000</v>
      </c>
      <c r="I6">
        <f>VLOOKUP(D6,Product_Master!$A$2:$C$4,3,0)/100*H6</f>
        <v>7200</v>
      </c>
      <c r="J6">
        <f t="shared" si="0"/>
        <v>67200</v>
      </c>
      <c r="K6" t="str">
        <f>IF(E6&gt;3,"High",IF(E6&lt;=3,"low"))</f>
        <v>High</v>
      </c>
      <c r="L6" t="str">
        <f t="shared" si="1"/>
        <v>January</v>
      </c>
      <c r="M6" t="str">
        <f>INDEX(A6:L11,MATCH(Sales_Data!D6,Sales_Data!D6:D11,0),4)</f>
        <v>Mobile</v>
      </c>
      <c r="N6" t="str">
        <f t="shared" si="2"/>
        <v>Am</v>
      </c>
    </row>
    <row r="7" spans="1:19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f>(E7*F7)</f>
        <v>90000</v>
      </c>
      <c r="I7">
        <f>VLOOKUP(D7,Product_Master!$A$2:$C$4,3,0)/100*H7</f>
        <v>16200</v>
      </c>
      <c r="J7">
        <f t="shared" si="0"/>
        <v>106200</v>
      </c>
      <c r="K7" t="str">
        <f>IF(E7&gt;3,"High",IF(E7&lt;=3,"low"))</f>
        <v>low</v>
      </c>
      <c r="L7" t="str">
        <f t="shared" si="1"/>
        <v>January</v>
      </c>
      <c r="M7" t="str">
        <f>INDEX(A7:L12,MATCH(Sales_Data!D7,Sales_Data!D7:D12,0),4)</f>
        <v>Laptop</v>
      </c>
      <c r="N7" t="str">
        <f t="shared" si="2"/>
        <v>Ri</v>
      </c>
    </row>
    <row r="8" spans="1:19" x14ac:dyDescent="0.25">
      <c r="R8" s="3" t="s">
        <v>93</v>
      </c>
      <c r="S8" t="s">
        <v>92</v>
      </c>
    </row>
    <row r="9" spans="1:19" x14ac:dyDescent="0.25">
      <c r="I9" t="s">
        <v>77</v>
      </c>
      <c r="J9">
        <f>SUM(J2:J7)</f>
        <v>477180</v>
      </c>
      <c r="R9" s="4" t="s">
        <v>15</v>
      </c>
      <c r="S9" s="5">
        <v>165000</v>
      </c>
    </row>
    <row r="10" spans="1:19" x14ac:dyDescent="0.25">
      <c r="I10" t="s">
        <v>78</v>
      </c>
      <c r="J10">
        <f>COUNTA(A2:A7)</f>
        <v>6</v>
      </c>
      <c r="R10" s="4" t="s">
        <v>23</v>
      </c>
      <c r="S10" s="5">
        <v>45000</v>
      </c>
    </row>
    <row r="11" spans="1:19" x14ac:dyDescent="0.25">
      <c r="R11" s="4" t="s">
        <v>19</v>
      </c>
      <c r="S11" s="5">
        <v>54000</v>
      </c>
    </row>
    <row r="12" spans="1:19" x14ac:dyDescent="0.25">
      <c r="R12" s="4" t="s">
        <v>11</v>
      </c>
      <c r="S12" s="5">
        <v>150000</v>
      </c>
    </row>
    <row r="13" spans="1:19" x14ac:dyDescent="0.25">
      <c r="B13" t="s">
        <v>79</v>
      </c>
      <c r="C13">
        <f>SUMIF(Sales_Data!$B$2:$B$7,Sales_Data!B2,Sales_Data!$J$2:$J$7)</f>
        <v>173400</v>
      </c>
      <c r="E13" t="s">
        <v>84</v>
      </c>
      <c r="F13">
        <f>MAX(J2:J7)</f>
        <v>106200</v>
      </c>
      <c r="R13" s="4" t="s">
        <v>91</v>
      </c>
      <c r="S13" s="5">
        <v>414000</v>
      </c>
    </row>
    <row r="14" spans="1:19" x14ac:dyDescent="0.25">
      <c r="B14" t="s">
        <v>80</v>
      </c>
      <c r="C14">
        <f>SUMIF(Sales_Data!$B$2:$B$7,Sales_Data!B3,Sales_Data!$J$2:$J$7)</f>
        <v>190200</v>
      </c>
      <c r="E14" t="s">
        <v>85</v>
      </c>
      <c r="F14">
        <f>MIN(J2:J7)</f>
        <v>53100</v>
      </c>
    </row>
    <row r="15" spans="1:19" x14ac:dyDescent="0.25">
      <c r="B15" t="s">
        <v>81</v>
      </c>
      <c r="C15">
        <f>SUMIF(Sales_Data!$B$2:$B$7,Sales_Data!B4,Sales_Data!$J$2:$J$7)</f>
        <v>60480</v>
      </c>
    </row>
    <row r="16" spans="1:19" x14ac:dyDescent="0.25">
      <c r="B16" t="s">
        <v>82</v>
      </c>
      <c r="C16">
        <f>SUMIF(Sales_Data!$B$2:$B$7,Sales_Data!B5,Sales_Data!$J$2:$J$7)</f>
        <v>53100</v>
      </c>
    </row>
    <row r="18" spans="1:25" x14ac:dyDescent="0.25">
      <c r="N18" t="s">
        <v>98</v>
      </c>
    </row>
    <row r="19" spans="1:25" x14ac:dyDescent="0.25">
      <c r="A19" t="str" cm="1">
        <f t="array" ref="A19:L25">_xlfn._xlws.SORT(A1:L7,10,-1)</f>
        <v>Order_ID</v>
      </c>
      <c r="B19" t="str">
        <v>Region</v>
      </c>
      <c r="C19" t="str">
        <v>Salesperson</v>
      </c>
      <c r="D19" t="str">
        <v>Product</v>
      </c>
      <c r="E19" t="str">
        <v>Quantity</v>
      </c>
      <c r="F19" t="str">
        <v>Unit_Price</v>
      </c>
      <c r="G19" t="str">
        <v>Sales_Date</v>
      </c>
      <c r="H19" t="str">
        <v>Total sales</v>
      </c>
      <c r="I19" t="str">
        <v>gst</v>
      </c>
      <c r="J19" t="str">
        <v>Total amount</v>
      </c>
      <c r="K19" t="str">
        <v>Qty_status</v>
      </c>
      <c r="L19" t="str">
        <v>Month</v>
      </c>
      <c r="N19" cm="1">
        <f t="array" ref="N19:Y20">_xlfn._xlws.FILTER(A2:L7,(D2:D7="Laptop")*(E2:E7&gt;1),"")</f>
        <v>301</v>
      </c>
      <c r="O19" t="str">
        <v>North</v>
      </c>
      <c r="P19" t="str">
        <v>Amit</v>
      </c>
      <c r="Q19" t="str">
        <v>Laptop</v>
      </c>
      <c r="R19">
        <v>2</v>
      </c>
      <c r="S19">
        <v>45000</v>
      </c>
      <c r="T19" t="str">
        <v>05-01-2025</v>
      </c>
      <c r="U19">
        <v>90000</v>
      </c>
      <c r="V19">
        <v>16200</v>
      </c>
      <c r="W19">
        <v>106200</v>
      </c>
      <c r="X19" t="str">
        <v>low</v>
      </c>
      <c r="Y19" t="str">
        <v>January</v>
      </c>
    </row>
    <row r="20" spans="1:25" x14ac:dyDescent="0.25">
      <c r="A20">
        <v>301</v>
      </c>
      <c r="B20" t="str">
        <v>North</v>
      </c>
      <c r="C20" t="str">
        <v>Amit</v>
      </c>
      <c r="D20" t="str">
        <v>Laptop</v>
      </c>
      <c r="E20">
        <v>2</v>
      </c>
      <c r="F20">
        <v>45000</v>
      </c>
      <c r="G20" t="str">
        <v>05-01-2025</v>
      </c>
      <c r="H20">
        <v>90000</v>
      </c>
      <c r="I20">
        <v>16200</v>
      </c>
      <c r="J20">
        <v>106200</v>
      </c>
      <c r="K20" t="str">
        <v>low</v>
      </c>
      <c r="L20" t="str">
        <v>January</v>
      </c>
      <c r="N20">
        <v>306</v>
      </c>
      <c r="O20" t="str">
        <v>South</v>
      </c>
      <c r="P20" t="str">
        <v>Riya</v>
      </c>
      <c r="Q20" t="str">
        <v>Laptop</v>
      </c>
      <c r="R20">
        <v>2</v>
      </c>
      <c r="S20">
        <v>45000</v>
      </c>
      <c r="T20" t="str">
        <v>18-01-2025</v>
      </c>
      <c r="U20">
        <v>90000</v>
      </c>
      <c r="V20">
        <v>16200</v>
      </c>
      <c r="W20">
        <v>106200</v>
      </c>
      <c r="X20" t="str">
        <v>low</v>
      </c>
      <c r="Y20" t="str">
        <v>January</v>
      </c>
    </row>
    <row r="21" spans="1:25" x14ac:dyDescent="0.25">
      <c r="A21">
        <v>306</v>
      </c>
      <c r="B21" t="str">
        <v>South</v>
      </c>
      <c r="C21" t="str">
        <v>Riya</v>
      </c>
      <c r="D21" t="str">
        <v>Laptop</v>
      </c>
      <c r="E21">
        <v>2</v>
      </c>
      <c r="F21">
        <v>45000</v>
      </c>
      <c r="G21" t="str">
        <v>18-01-2025</v>
      </c>
      <c r="H21">
        <v>90000</v>
      </c>
      <c r="I21">
        <v>16200</v>
      </c>
      <c r="J21">
        <v>106200</v>
      </c>
      <c r="K21" t="str">
        <v>low</v>
      </c>
      <c r="L21" t="str">
        <v>January</v>
      </c>
    </row>
    <row r="22" spans="1:25" x14ac:dyDescent="0.25">
      <c r="A22">
        <v>302</v>
      </c>
      <c r="B22" t="str">
        <v>South</v>
      </c>
      <c r="C22" t="str">
        <v>Riya</v>
      </c>
      <c r="D22" t="str">
        <v>Mobile</v>
      </c>
      <c r="E22">
        <v>5</v>
      </c>
      <c r="F22">
        <v>15000</v>
      </c>
      <c r="G22" t="str">
        <v>07-01-2025</v>
      </c>
      <c r="H22">
        <v>75000</v>
      </c>
      <c r="I22">
        <v>9000</v>
      </c>
      <c r="J22">
        <v>84000</v>
      </c>
      <c r="K22" t="str">
        <v>High</v>
      </c>
      <c r="L22" t="str">
        <v>January</v>
      </c>
      <c r="N22" t="s">
        <v>99</v>
      </c>
      <c r="O22">
        <f>COUNTIFS(Sales_Data!B2:B7,"north",D2:D7,"laptop")</f>
        <v>1</v>
      </c>
    </row>
    <row r="23" spans="1:25" x14ac:dyDescent="0.25">
      <c r="A23">
        <v>305</v>
      </c>
      <c r="B23" t="str">
        <v>North</v>
      </c>
      <c r="C23" t="str">
        <v>Amit</v>
      </c>
      <c r="D23" t="str">
        <v>Mobile</v>
      </c>
      <c r="E23">
        <v>4</v>
      </c>
      <c r="F23">
        <v>15000</v>
      </c>
      <c r="G23" t="str">
        <v>15-01-2025</v>
      </c>
      <c r="H23">
        <v>60000</v>
      </c>
      <c r="I23">
        <v>7200</v>
      </c>
      <c r="J23">
        <v>67200</v>
      </c>
      <c r="K23" t="str">
        <v>High</v>
      </c>
      <c r="L23" t="str">
        <v>January</v>
      </c>
    </row>
    <row r="24" spans="1:25" x14ac:dyDescent="0.25">
      <c r="A24">
        <v>303</v>
      </c>
      <c r="B24" t="str">
        <v>East</v>
      </c>
      <c r="C24" t="str">
        <v>Kunal</v>
      </c>
      <c r="D24" t="str">
        <v>Tablet</v>
      </c>
      <c r="E24">
        <v>3</v>
      </c>
      <c r="F24">
        <v>18000</v>
      </c>
      <c r="G24" t="str">
        <v>10-01-2025</v>
      </c>
      <c r="H24">
        <v>54000</v>
      </c>
      <c r="I24">
        <v>6480</v>
      </c>
      <c r="J24">
        <v>60480</v>
      </c>
      <c r="K24" t="str">
        <v>low</v>
      </c>
      <c r="L24" t="str">
        <v>January</v>
      </c>
    </row>
    <row r="25" spans="1:25" x14ac:dyDescent="0.25">
      <c r="A25">
        <v>304</v>
      </c>
      <c r="B25" t="str">
        <v>West</v>
      </c>
      <c r="C25" t="str">
        <v>Neha</v>
      </c>
      <c r="D25" t="str">
        <v>Laptop</v>
      </c>
      <c r="E25">
        <v>1</v>
      </c>
      <c r="F25">
        <v>45000</v>
      </c>
      <c r="G25" t="str">
        <v>12-01-2025</v>
      </c>
      <c r="H25">
        <v>45000</v>
      </c>
      <c r="I25">
        <v>8100</v>
      </c>
      <c r="J25">
        <v>53100</v>
      </c>
      <c r="K25" t="str">
        <v>low</v>
      </c>
      <c r="L25" t="str">
        <v>January</v>
      </c>
    </row>
  </sheetData>
  <conditionalFormatting sqref="J2:J7">
    <cfRule type="cellIs" dxfId="0" priority="1" operator="greaterThan">
      <formula>60000</formula>
    </cfRule>
  </conditionalFormatting>
  <pageMargins left="0.75" right="0.75" top="1" bottom="1" header="0.5" footer="0.5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zoomScale="145" zoomScaleNormal="145" workbookViewId="0">
      <selection activeCell="G3" sqref="G3"/>
    </sheetView>
  </sheetViews>
  <sheetFormatPr defaultRowHeight="15" x14ac:dyDescent="0.25"/>
  <cols>
    <col min="1" max="1" width="10.85546875" bestFit="1" customWidth="1"/>
    <col min="6" max="6" width="20.5703125" bestFit="1" customWidth="1"/>
    <col min="7" max="7" width="10.140625" customWidth="1"/>
    <col min="8" max="8" width="15.5703125" bestFit="1" customWidth="1"/>
  </cols>
  <sheetData>
    <row r="1" spans="1:9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87</v>
      </c>
      <c r="H1" t="s">
        <v>90</v>
      </c>
      <c r="I1" t="s">
        <v>96</v>
      </c>
    </row>
    <row r="2" spans="1:9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  <c r="G2">
        <f>ROUND(AVERAGE(C2:E2),2)</f>
        <v>81.67</v>
      </c>
      <c r="H2" t="str">
        <f>IF(F2&gt;85,"Eligible","Not Eligible")</f>
        <v>Eligible</v>
      </c>
      <c r="I2" t="str">
        <f>_xlfn.CONCAT(Student_Marks!A2,"_",Student_Marks!B2)</f>
        <v>1_Rahul</v>
      </c>
    </row>
    <row r="3" spans="1:9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  <c r="G3">
        <f t="shared" ref="G3:G6" si="0">ROUND(AVERAGE(C3:E3),2)</f>
        <v>89.67</v>
      </c>
      <c r="H3" t="str">
        <f t="shared" ref="H3:H6" si="1">IF(F3&gt;85,"Eligible","Not Eligible")</f>
        <v>Eligible</v>
      </c>
      <c r="I3" t="str">
        <f>_xlfn.CONCAT(Student_Marks!A3,"_",Student_Marks!B3)</f>
        <v>2_Sneha</v>
      </c>
    </row>
    <row r="4" spans="1:9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G4">
        <f t="shared" si="0"/>
        <v>69</v>
      </c>
      <c r="H4" t="str">
        <f t="shared" si="1"/>
        <v>Not Eligible</v>
      </c>
      <c r="I4" t="str">
        <f>_xlfn.CONCAT(Student_Marks!A4,"_",Student_Marks!B4)</f>
        <v>3_Arjun</v>
      </c>
    </row>
    <row r="5" spans="1:9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  <c r="G5">
        <f t="shared" si="0"/>
        <v>91.67</v>
      </c>
      <c r="H5" t="str">
        <f t="shared" si="1"/>
        <v>Eligible</v>
      </c>
      <c r="I5" t="str">
        <f>_xlfn.CONCAT(Student_Marks!A5,"_",Student_Marks!B5)</f>
        <v>4_Pooja</v>
      </c>
    </row>
    <row r="6" spans="1:9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  <c r="G6">
        <f t="shared" si="0"/>
        <v>57.67</v>
      </c>
      <c r="H6" t="str">
        <f t="shared" si="1"/>
        <v>Not Eligible</v>
      </c>
      <c r="I6" t="str">
        <f>_xlfn.CONCAT(Student_Marks!A6,"_",Student_Marks!B6)</f>
        <v>5_Vikas</v>
      </c>
    </row>
    <row r="9" spans="1:9" x14ac:dyDescent="0.25">
      <c r="F9" t="s">
        <v>88</v>
      </c>
      <c r="G9" t="str">
        <f>_xlfn.XLOOKUP(MAX(G2:G6),G2:G6,B2:B6)</f>
        <v>Pooja</v>
      </c>
    </row>
    <row r="10" spans="1:9" x14ac:dyDescent="0.25">
      <c r="F10" t="s">
        <v>89</v>
      </c>
      <c r="G10">
        <f>COUNTIF(F2:F6,"&gt;90")</f>
        <v>3</v>
      </c>
    </row>
    <row r="11" spans="1:9" x14ac:dyDescent="0.25">
      <c r="F11" t="s">
        <v>94</v>
      </c>
      <c r="G11">
        <f>MEDIAN(D2:D6)</f>
        <v>82</v>
      </c>
    </row>
    <row r="12" spans="1:9" x14ac:dyDescent="0.25">
      <c r="F12" t="s">
        <v>95</v>
      </c>
      <c r="G12" s="6">
        <f>_xlfn.STDEV.S(Student_Marks!E2:E6)</f>
        <v>14.737706741552426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4" workbookViewId="0">
      <selection activeCell="D11" sqref="D11"/>
    </sheetView>
  </sheetViews>
  <sheetFormatPr defaultRowHeight="15" x14ac:dyDescent="0.25"/>
  <sheetData>
    <row r="1" spans="1:10" s="1" customFormat="1" x14ac:dyDescent="0.25">
      <c r="A1" s="1" t="s">
        <v>42</v>
      </c>
      <c r="J1" s="1">
        <v>2</v>
      </c>
    </row>
    <row r="2" spans="1:10" s="1" customFormat="1" x14ac:dyDescent="0.25">
      <c r="A2" s="1" t="s">
        <v>43</v>
      </c>
      <c r="J2" s="1">
        <v>2</v>
      </c>
    </row>
    <row r="3" spans="1:10" s="1" customFormat="1" x14ac:dyDescent="0.25">
      <c r="A3" s="1" t="s">
        <v>44</v>
      </c>
      <c r="J3" s="1">
        <v>2</v>
      </c>
    </row>
    <row r="4" spans="1:10" s="1" customFormat="1" x14ac:dyDescent="0.25">
      <c r="A4" s="1" t="s">
        <v>45</v>
      </c>
      <c r="J4" s="1">
        <v>2</v>
      </c>
    </row>
    <row r="5" spans="1:10" s="1" customFormat="1" x14ac:dyDescent="0.25">
      <c r="A5" s="1" t="s">
        <v>46</v>
      </c>
      <c r="J5" s="1">
        <v>2</v>
      </c>
    </row>
    <row r="6" spans="1:10" s="1" customFormat="1" x14ac:dyDescent="0.25">
      <c r="A6" s="1" t="s">
        <v>47</v>
      </c>
      <c r="J6" s="1">
        <v>2</v>
      </c>
    </row>
    <row r="7" spans="1:10" s="1" customFormat="1" x14ac:dyDescent="0.25">
      <c r="A7" s="1" t="s">
        <v>48</v>
      </c>
      <c r="J7" s="1">
        <v>2</v>
      </c>
    </row>
    <row r="8" spans="1:10" s="1" customFormat="1" ht="14.25" customHeight="1" x14ac:dyDescent="0.25">
      <c r="A8" s="1" t="s">
        <v>49</v>
      </c>
      <c r="J8" s="1">
        <v>2</v>
      </c>
    </row>
    <row r="9" spans="1:10" s="1" customFormat="1" x14ac:dyDescent="0.25">
      <c r="A9" s="1" t="s">
        <v>50</v>
      </c>
      <c r="J9" s="1">
        <v>2</v>
      </c>
    </row>
    <row r="10" spans="1:10" s="1" customFormat="1" x14ac:dyDescent="0.25">
      <c r="A10" s="1" t="s">
        <v>51</v>
      </c>
      <c r="J10" s="1">
        <v>2</v>
      </c>
    </row>
    <row r="11" spans="1:10" s="2" customFormat="1" x14ac:dyDescent="0.25">
      <c r="A11" s="2" t="s">
        <v>52</v>
      </c>
      <c r="J11" s="2">
        <v>2</v>
      </c>
    </row>
    <row r="12" spans="1:10" s="1" customFormat="1" x14ac:dyDescent="0.25">
      <c r="A12" s="1" t="s">
        <v>53</v>
      </c>
      <c r="J12" s="1">
        <v>2</v>
      </c>
    </row>
    <row r="13" spans="1:10" s="1" customFormat="1" x14ac:dyDescent="0.25">
      <c r="A13" s="1" t="s">
        <v>54</v>
      </c>
      <c r="J13" s="1">
        <v>2</v>
      </c>
    </row>
    <row r="14" spans="1:10" s="1" customFormat="1" ht="15.75" customHeight="1" x14ac:dyDescent="0.25">
      <c r="A14" s="1" t="s">
        <v>55</v>
      </c>
      <c r="J14" s="1">
        <v>2</v>
      </c>
    </row>
    <row r="15" spans="1:10" s="1" customFormat="1" x14ac:dyDescent="0.25">
      <c r="A15" s="1" t="s">
        <v>56</v>
      </c>
      <c r="J15" s="1">
        <v>2</v>
      </c>
    </row>
    <row r="16" spans="1:10" s="1" customFormat="1" x14ac:dyDescent="0.25">
      <c r="A16" s="1" t="s">
        <v>57</v>
      </c>
      <c r="J16" s="1">
        <v>2</v>
      </c>
    </row>
    <row r="17" spans="1:10" s="1" customFormat="1" x14ac:dyDescent="0.25">
      <c r="A17" s="1" t="s">
        <v>58</v>
      </c>
      <c r="J17" s="1">
        <v>2</v>
      </c>
    </row>
    <row r="18" spans="1:10" s="1" customFormat="1" x14ac:dyDescent="0.25">
      <c r="A18" s="1" t="s">
        <v>59</v>
      </c>
      <c r="J18" s="1">
        <v>2</v>
      </c>
    </row>
    <row r="19" spans="1:10" s="1" customFormat="1" x14ac:dyDescent="0.25">
      <c r="A19" s="1" t="s">
        <v>60</v>
      </c>
      <c r="J19" s="1">
        <v>2</v>
      </c>
    </row>
    <row r="20" spans="1:10" s="1" customFormat="1" x14ac:dyDescent="0.25">
      <c r="A20" s="1" t="s">
        <v>61</v>
      </c>
      <c r="J20" s="1">
        <v>2</v>
      </c>
    </row>
    <row r="21" spans="1:10" s="1" customFormat="1" x14ac:dyDescent="0.25">
      <c r="A21" s="1" t="s">
        <v>62</v>
      </c>
      <c r="J21" s="1">
        <v>2</v>
      </c>
    </row>
    <row r="22" spans="1:10" s="1" customFormat="1" x14ac:dyDescent="0.25">
      <c r="A22" s="1" t="s">
        <v>63</v>
      </c>
      <c r="J22" s="1">
        <v>2</v>
      </c>
    </row>
    <row r="23" spans="1:10" s="1" customFormat="1" x14ac:dyDescent="0.25">
      <c r="A23" s="1" t="s">
        <v>64</v>
      </c>
      <c r="J23" s="1">
        <v>2</v>
      </c>
    </row>
    <row r="24" spans="1:10" s="1" customFormat="1" x14ac:dyDescent="0.25">
      <c r="A24" s="1" t="s">
        <v>65</v>
      </c>
      <c r="J24" s="1">
        <v>2</v>
      </c>
    </row>
    <row r="25" spans="1:10" s="1" customFormat="1" x14ac:dyDescent="0.25">
      <c r="A25" s="1" t="s">
        <v>66</v>
      </c>
      <c r="J25" s="1">
        <v>2</v>
      </c>
    </row>
    <row r="26" spans="1:10" s="1" customFormat="1" x14ac:dyDescent="0.25">
      <c r="A26" s="1" t="s">
        <v>67</v>
      </c>
      <c r="J26" s="1">
        <v>2</v>
      </c>
    </row>
    <row r="27" spans="1:10" s="1" customFormat="1" x14ac:dyDescent="0.25">
      <c r="A27" s="1" t="s">
        <v>68</v>
      </c>
      <c r="J27" s="1">
        <v>2</v>
      </c>
    </row>
    <row r="28" spans="1:10" s="1" customFormat="1" x14ac:dyDescent="0.25">
      <c r="A28" s="1" t="s">
        <v>69</v>
      </c>
      <c r="J28" s="1">
        <v>2</v>
      </c>
    </row>
    <row r="29" spans="1:10" s="1" customFormat="1" x14ac:dyDescent="0.25">
      <c r="A29" s="1" t="s">
        <v>70</v>
      </c>
      <c r="J29" s="1">
        <v>2</v>
      </c>
    </row>
    <row r="30" spans="1:10" s="1" customFormat="1" x14ac:dyDescent="0.25">
      <c r="A30" s="1" t="s">
        <v>71</v>
      </c>
      <c r="J30" s="1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Sales_Data</vt:lpstr>
      <vt:lpstr>Product_Master</vt:lpstr>
      <vt:lpstr>Student_Marks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ASDC7</cp:lastModifiedBy>
  <dcterms:created xsi:type="dcterms:W3CDTF">2025-12-20T09:26:06Z</dcterms:created>
  <dcterms:modified xsi:type="dcterms:W3CDTF">2026-05-24T11:22:02Z</dcterms:modified>
</cp:coreProperties>
</file>