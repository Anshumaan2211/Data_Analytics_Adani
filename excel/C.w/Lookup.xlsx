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9\Desktop\"/>
    </mc:Choice>
  </mc:AlternateContent>
  <xr:revisionPtr revIDLastSave="0" documentId="13_ncr:1_{B01613E0-BD4E-473A-A0AE-8B62E183EAD7}" xr6:coauthVersionLast="47" xr6:coauthVersionMax="47" xr10:uidLastSave="{00000000-0000-0000-0000-000000000000}"/>
  <bookViews>
    <workbookView xWindow="-120" yWindow="-120" windowWidth="20730" windowHeight="11040" xr2:uid="{E12BD431-57D9-47F9-80CF-70F1B636DEE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6" l="1"/>
  <c r="F6" i="15"/>
  <c r="E7" i="14"/>
  <c r="D5" i="12"/>
  <c r="D5" i="11"/>
  <c r="D4" i="10"/>
  <c r="D4" i="9"/>
  <c r="D6" i="8"/>
  <c r="D5" i="8"/>
  <c r="C3" i="4"/>
  <c r="E6" i="7"/>
  <c r="D5" i="6"/>
  <c r="D6" i="5"/>
  <c r="C4" i="3"/>
  <c r="C3" i="2"/>
</calcChain>
</file>

<file path=xl/sharedStrings.xml><?xml version="1.0" encoding="utf-8"?>
<sst xmlns="http://schemas.openxmlformats.org/spreadsheetml/2006/main" count="89" uniqueCount="43">
  <si>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</si>
  <si>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</si>
  <si>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</si>
  <si>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</si>
  <si>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</si>
  <si>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</si>
  <si>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</si>
  <si>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</si>
  <si>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</si>
  <si>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</si>
  <si>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</si>
  <si>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</si>
  <si>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</si>
  <si>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</si>
  <si>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</si>
  <si>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</si>
  <si>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</si>
  <si>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</si>
  <si>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</si>
  <si>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</si>
  <si>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</si>
  <si>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</si>
  <si>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</si>
  <si>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</si>
  <si>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</si>
  <si>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</si>
  <si>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</si>
  <si>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</si>
  <si>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</si>
  <si>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</si>
  <si>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</si>
  <si>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</si>
  <si>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</si>
  <si>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E169</t>
  </si>
  <si>
    <t>Data</t>
  </si>
  <si>
    <t>Joining year</t>
  </si>
  <si>
    <t>Bonus %</t>
  </si>
  <si>
    <t>Bonus</t>
  </si>
  <si>
    <t>Bonus amount</t>
  </si>
  <si>
    <t>data</t>
  </si>
  <si>
    <t>doctor</t>
  </si>
  <si>
    <t>Employee name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</si>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</sst>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9" fontId="3" fillId="2" borderId="1" xfId="0" applyNumberFormat="1" applyFont="1" applyFill="1" applyBorder="1" applyAlignment="1">
      <alignment horizontal="right" vertical="center" wrapText="1" indent="1"/>
    </xf>
    <xf numFmtId="9" fontId="0" fillId="0" borderId="0" xfId="1" applyFont="1"/>
    <xf numFmtId="9" fontId="3" fillId="2" borderId="1" xfId="1" applyFont="1" applyFill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CF8A-A979-4795-A3D7-99ADCFCCB497}">
  <dimension ref="E3:R12"/>
  <sheetViews>
    <sheetView tabSelected="1" topLeftCell="A4" zoomScale="85" zoomScaleNormal="85" workbookViewId="0">
      <selection activeCell="F7" sqref="F7"/>
    </sheetView>
  </sheetViews>
  <sheetFormatPr defaultRowHeight="15" x14ac:dyDescent="0.25"/>
  <cols>
    <col min="5" max="5" width="8.5703125" bestFit="1" customWidth="1"/>
    <col min="13" max="13" width="14.5703125" bestFit="1" customWidth="1"/>
  </cols>
  <sheetData>
    <row r="3" spans="5:18" ht="15.75" thickBot="1" x14ac:dyDescent="0.3"/>
    <row r="4" spans="5:18" ht="52.5" thickBot="1" x14ac:dyDescent="0.3">
      <c r="E4" s="1" t="s">
        <v>0</v>
      </c>
      <c r="F4" s="2" t="s">
        <v>1</v>
      </c>
      <c r="G4" s="2" t="s">
        <v>2</v>
      </c>
      <c r="H4" s="2" t="s">
        <v>3</v>
      </c>
      <c r="I4" s="1" t="s">
        <v>4</v>
      </c>
      <c r="J4" s="1" t="s">
        <v>5</v>
      </c>
      <c r="M4" s="2" t="s">
        <v>2</v>
      </c>
      <c r="N4" s="1" t="s">
        <v>8</v>
      </c>
      <c r="O4" s="1" t="s">
        <v>12</v>
      </c>
      <c r="P4" s="1" t="s">
        <v>16</v>
      </c>
      <c r="Q4" s="1" t="s">
        <v>20</v>
      </c>
      <c r="R4" s="1" t="s">
        <v>24</v>
      </c>
    </row>
    <row r="5" spans="5:18" ht="52.5" thickBot="1" x14ac:dyDescent="0.3">
      <c r="E5" s="3" t="s">
        <v>6</v>
      </c>
      <c r="F5" s="4" t="s">
        <v>7</v>
      </c>
      <c r="G5" s="4" t="s">
        <v>8</v>
      </c>
      <c r="H5" s="4" t="s">
        <v>9</v>
      </c>
      <c r="I5" s="3">
        <v>45000</v>
      </c>
      <c r="J5" s="3">
        <v>2019</v>
      </c>
      <c r="M5" s="4" t="s">
        <v>36</v>
      </c>
      <c r="N5" s="7">
        <v>0.1</v>
      </c>
      <c r="O5" s="7">
        <v>0.08</v>
      </c>
      <c r="P5" s="7">
        <v>0.12</v>
      </c>
      <c r="Q5" s="7">
        <v>0.15</v>
      </c>
      <c r="R5" s="7">
        <v>0.09</v>
      </c>
    </row>
    <row r="6" spans="5:18" ht="52.5" thickBot="1" x14ac:dyDescent="0.3">
      <c r="E6" s="5" t="s">
        <v>10</v>
      </c>
      <c r="F6" s="6" t="s">
        <v>11</v>
      </c>
      <c r="G6" s="6" t="s">
        <v>12</v>
      </c>
      <c r="H6" s="6" t="s">
        <v>13</v>
      </c>
      <c r="I6" s="5">
        <v>52000</v>
      </c>
      <c r="J6" s="5">
        <v>2018</v>
      </c>
      <c r="M6" t="s">
        <v>38</v>
      </c>
    </row>
    <row r="7" spans="5:18" ht="35.25" thickBot="1" x14ac:dyDescent="0.3">
      <c r="E7" s="3" t="s">
        <v>14</v>
      </c>
      <c r="F7" s="4" t="s">
        <v>15</v>
      </c>
      <c r="G7" s="4" t="s">
        <v>16</v>
      </c>
      <c r="H7" s="4" t="s">
        <v>17</v>
      </c>
      <c r="I7" s="3">
        <v>65000</v>
      </c>
      <c r="J7" s="3">
        <v>2020</v>
      </c>
    </row>
    <row r="8" spans="5:18" ht="35.25" thickBot="1" x14ac:dyDescent="0.3">
      <c r="E8" s="5" t="s">
        <v>18</v>
      </c>
      <c r="F8" s="6" t="s">
        <v>19</v>
      </c>
      <c r="G8" s="6" t="s">
        <v>20</v>
      </c>
      <c r="H8" s="6" t="s">
        <v>21</v>
      </c>
      <c r="I8" s="5">
        <v>58000</v>
      </c>
      <c r="J8" s="5">
        <v>2017</v>
      </c>
    </row>
    <row r="9" spans="5:18" ht="35.25" thickBot="1" x14ac:dyDescent="0.3">
      <c r="E9" s="3" t="s">
        <v>22</v>
      </c>
      <c r="F9" s="4" t="s">
        <v>23</v>
      </c>
      <c r="G9" s="4" t="s">
        <v>24</v>
      </c>
      <c r="H9" s="4" t="s">
        <v>9</v>
      </c>
      <c r="I9" s="3">
        <v>48000</v>
      </c>
      <c r="J9" s="3">
        <v>2021</v>
      </c>
    </row>
    <row r="10" spans="5:18" ht="35.25" thickBot="1" x14ac:dyDescent="0.3">
      <c r="E10" s="5" t="s">
        <v>25</v>
      </c>
      <c r="F10" s="6" t="s">
        <v>26</v>
      </c>
      <c r="G10" s="6" t="s">
        <v>16</v>
      </c>
      <c r="H10" s="6" t="s">
        <v>27</v>
      </c>
      <c r="I10" s="5">
        <v>62000</v>
      </c>
      <c r="J10" s="5">
        <v>2019</v>
      </c>
    </row>
    <row r="11" spans="5:18" ht="35.25" thickBot="1" x14ac:dyDescent="0.3">
      <c r="E11" s="3" t="s">
        <v>28</v>
      </c>
      <c r="F11" s="4" t="s">
        <v>29</v>
      </c>
      <c r="G11" s="4" t="s">
        <v>8</v>
      </c>
      <c r="H11" s="4" t="s">
        <v>30</v>
      </c>
      <c r="I11" s="3">
        <v>47000</v>
      </c>
      <c r="J11" s="3">
        <v>2020</v>
      </c>
    </row>
    <row r="12" spans="5:18" ht="35.25" thickBot="1" x14ac:dyDescent="0.3">
      <c r="E12" s="5" t="s">
        <v>31</v>
      </c>
      <c r="F12" s="6" t="s">
        <v>32</v>
      </c>
      <c r="G12" s="6" t="s">
        <v>12</v>
      </c>
      <c r="H12" s="6" t="s">
        <v>17</v>
      </c>
      <c r="I12" s="5">
        <v>54000</v>
      </c>
      <c r="J12" s="5">
        <v>2016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8703-1824-4FE8-87B7-805514FA5D88}">
  <dimension ref="B1:C3"/>
  <sheetViews>
    <sheetView workbookViewId="0">
      <selection activeCell="B4" sqref="B4"/>
    </sheetView>
  </sheetViews>
  <sheetFormatPr defaultRowHeight="15" x14ac:dyDescent="0.25"/>
  <sheetData>
    <row r="1" spans="2:3" ht="15.75" thickBot="1" x14ac:dyDescent="0.3"/>
    <row r="2" spans="2:3" ht="35.25" thickBot="1" x14ac:dyDescent="0.3">
      <c r="B2" s="2" t="s">
        <v>0</v>
      </c>
      <c r="C2" s="2" t="s">
        <v>1</v>
      </c>
    </row>
    <row r="3" spans="2:3" ht="35.25" thickBot="1" x14ac:dyDescent="0.3">
      <c r="B3" s="4" t="s">
        <v>18</v>
      </c>
      <c r="C3" s="4" t="str">
        <f>VLOOKUP(B3,Sheet1!E4:J12,2,0)</f>
        <v>Neha Singh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5579-CA39-4118-84DB-D9B360D7B171}">
  <dimension ref="B2:C4"/>
  <sheetViews>
    <sheetView topLeftCell="B1" zoomScale="145" zoomScaleNormal="145" workbookViewId="0">
      <selection activeCell="B4" sqref="B4"/>
    </sheetView>
  </sheetViews>
  <sheetFormatPr defaultRowHeight="15" x14ac:dyDescent="0.25"/>
  <cols>
    <col min="3" max="3" width="10.140625" bestFit="1" customWidth="1"/>
  </cols>
  <sheetData>
    <row r="2" spans="2:3" ht="15.75" thickBot="1" x14ac:dyDescent="0.3"/>
    <row r="3" spans="2:3" ht="35.25" thickBot="1" x14ac:dyDescent="0.3">
      <c r="B3" s="2" t="s">
        <v>0</v>
      </c>
      <c r="C3" s="2" t="s">
        <v>2</v>
      </c>
    </row>
    <row r="4" spans="2:3" ht="18" thickBot="1" x14ac:dyDescent="0.3">
      <c r="B4" s="4" t="s">
        <v>18</v>
      </c>
      <c r="C4" s="4" t="str">
        <f>VLOOKUP(B4,Sheet1!E4:J12,3,0)</f>
        <v>Finance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F787-1511-434F-BC73-3137BE6979A3}">
  <dimension ref="B1:C3"/>
  <sheetViews>
    <sheetView zoomScale="130" zoomScaleNormal="130" workbookViewId="0">
      <selection activeCell="C3" sqref="C3"/>
    </sheetView>
  </sheetViews>
  <sheetFormatPr defaultRowHeight="15" x14ac:dyDescent="0.25"/>
  <sheetData>
    <row r="1" spans="2:3" ht="15.75" thickBot="1" x14ac:dyDescent="0.3"/>
    <row r="2" spans="2:3" ht="18" thickBot="1" x14ac:dyDescent="0.3">
      <c r="B2" s="2" t="s">
        <v>1</v>
      </c>
      <c r="C2" s="2" t="s">
        <v>4</v>
      </c>
    </row>
    <row r="3" spans="2:3" ht="35.25" thickBot="1" x14ac:dyDescent="0.3">
      <c r="B3" s="4" t="s">
        <v>19</v>
      </c>
      <c r="C3" s="4" t="e">
        <f>VLOOKUP(B3,Sheet1!E4:J12,COLUMNS(Sheet1!$D$4),0)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AD1-3A7E-4485-AC98-F03B2E5C6165}">
  <dimension ref="C4:D6"/>
  <sheetViews>
    <sheetView workbookViewId="0">
      <selection activeCell="E19" sqref="E19"/>
    </sheetView>
  </sheetViews>
  <sheetFormatPr defaultRowHeight="15" x14ac:dyDescent="0.25"/>
  <sheetData>
    <row r="4" spans="3:4" ht="15.75" thickBot="1" x14ac:dyDescent="0.3"/>
    <row r="5" spans="3:4" ht="35.25" thickBot="1" x14ac:dyDescent="0.3">
      <c r="C5" s="2" t="s">
        <v>0</v>
      </c>
      <c r="D5" s="2" t="s">
        <v>3</v>
      </c>
    </row>
    <row r="6" spans="3:4" ht="35.25" thickBot="1" x14ac:dyDescent="0.3">
      <c r="C6" s="4" t="s">
        <v>28</v>
      </c>
      <c r="D6" s="4" t="str">
        <f>VLOOKUP(C6,Sheet1!E4:J12,4,0)</f>
        <v>Hyderabad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5716-49D6-4698-B1BA-B49A32CB142C}">
  <dimension ref="C3:D5"/>
  <sheetViews>
    <sheetView workbookViewId="0">
      <selection activeCell="E5" sqref="E5"/>
    </sheetView>
  </sheetViews>
  <sheetFormatPr defaultRowHeight="15" x14ac:dyDescent="0.25"/>
  <sheetData>
    <row r="3" spans="3:4" ht="15.75" thickBot="1" x14ac:dyDescent="0.3"/>
    <row r="4" spans="3:4" ht="35.25" thickBot="1" x14ac:dyDescent="0.3">
      <c r="C4" s="2" t="s">
        <v>0</v>
      </c>
      <c r="D4" s="2" t="s">
        <v>34</v>
      </c>
    </row>
    <row r="5" spans="3:4" ht="35.25" thickBot="1" x14ac:dyDescent="0.3">
      <c r="C5" s="4" t="s">
        <v>33</v>
      </c>
      <c r="D5" s="4" t="str">
        <f>IFERROR(VLOOKUP(C5,Sheet1!E4:J12,1,0),"Not found")</f>
        <v>Not found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3F16-14C2-4A08-83FE-C8D6D1494C66}">
  <dimension ref="D4:E6"/>
  <sheetViews>
    <sheetView workbookViewId="0">
      <selection activeCell="E7" sqref="E7"/>
    </sheetView>
  </sheetViews>
  <sheetFormatPr defaultRowHeight="15" x14ac:dyDescent="0.25"/>
  <sheetData>
    <row r="4" spans="4:5" ht="15.75" thickBot="1" x14ac:dyDescent="0.3"/>
    <row r="5" spans="4:5" ht="35.25" thickBot="1" x14ac:dyDescent="0.3">
      <c r="D5" s="2" t="s">
        <v>0</v>
      </c>
      <c r="E5" s="2" t="s">
        <v>35</v>
      </c>
    </row>
    <row r="6" spans="4:5" ht="35.25" thickBot="1" x14ac:dyDescent="0.3">
      <c r="D6" s="4" t="s">
        <v>6</v>
      </c>
      <c r="E6" s="4">
        <f>VLOOKUP(D6,Sheet1!E4:J12,6,0)</f>
        <v>2019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A112-2963-4A25-A2B4-15C6081B2965}">
  <dimension ref="C4:D6"/>
  <sheetViews>
    <sheetView workbookViewId="0">
      <selection activeCell="D5" sqref="D5"/>
    </sheetView>
  </sheetViews>
  <sheetFormatPr defaultRowHeight="15" x14ac:dyDescent="0.25"/>
  <sheetData>
    <row r="4" spans="3:4" x14ac:dyDescent="0.25">
      <c r="C4" t="s">
        <v>2</v>
      </c>
      <c r="D4" t="s">
        <v>37</v>
      </c>
    </row>
    <row r="5" spans="3:4" x14ac:dyDescent="0.25">
      <c r="C5" t="s">
        <v>16</v>
      </c>
      <c r="D5" s="8">
        <f>HLOOKUP(C5,Sheet1!$M$4:$R$5,2,0)</f>
        <v>0.12</v>
      </c>
    </row>
    <row r="6" spans="3:4" x14ac:dyDescent="0.25">
      <c r="C6" t="s">
        <v>20</v>
      </c>
      <c r="D6" s="8">
        <f>HLOOKUP(C6,Sheet1!$M$4:$R$5,2,0)</f>
        <v>0.15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A5AC-DA74-4DE3-B01F-7BA9C18A9786}">
  <dimension ref="C2:D4"/>
  <sheetViews>
    <sheetView workbookViewId="0">
      <selection activeCell="D4" sqref="D4"/>
    </sheetView>
  </sheetViews>
  <sheetFormatPr defaultRowHeight="15" x14ac:dyDescent="0.25"/>
  <cols>
    <col min="4" max="4" width="11.28515625" bestFit="1" customWidth="1"/>
  </cols>
  <sheetData>
    <row r="2" spans="3:4" ht="15.75" thickBot="1" x14ac:dyDescent="0.3"/>
    <row r="3" spans="3:4" ht="52.5" thickBot="1" x14ac:dyDescent="0.3">
      <c r="C3" s="2" t="s">
        <v>0</v>
      </c>
      <c r="D3" s="2" t="s">
        <v>38</v>
      </c>
    </row>
    <row r="4" spans="3:4" ht="18" thickBot="1" x14ac:dyDescent="0.3">
      <c r="C4" s="4" t="s">
        <v>18</v>
      </c>
      <c r="D4" s="4" t="e">
        <f>HLOOKUP(C4,Sheet1!$M$4:$R$5,2,0)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F879-F078-404E-8E30-E84F6B24BAF9}">
  <dimension ref="C2:D4"/>
  <sheetViews>
    <sheetView workbookViewId="0">
      <selection activeCell="C5" sqref="C5"/>
    </sheetView>
  </sheetViews>
  <sheetFormatPr defaultRowHeight="15" x14ac:dyDescent="0.25"/>
  <sheetData>
    <row r="2" spans="3:4" ht="15.75" thickBot="1" x14ac:dyDescent="0.3"/>
    <row r="3" spans="3:4" ht="35.25" thickBot="1" x14ac:dyDescent="0.3">
      <c r="C3" s="2" t="s">
        <v>2</v>
      </c>
      <c r="D3" s="2" t="s">
        <v>39</v>
      </c>
    </row>
    <row r="4" spans="3:4" ht="35.25" thickBot="1" x14ac:dyDescent="0.3">
      <c r="C4" s="4" t="s">
        <v>40</v>
      </c>
      <c r="D4" s="4" t="str">
        <f>IFERROR(HLOOKUP(C4,Sheet1!M4:R5,1,0),"Not found")</f>
        <v>Not found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B510-8299-4D98-A1AB-3FBDA3307A9C}">
  <dimension ref="C3:D5"/>
  <sheetViews>
    <sheetView workbookViewId="0">
      <selection activeCell="D6" sqref="D6"/>
    </sheetView>
  </sheetViews>
  <sheetFormatPr defaultRowHeight="15" x14ac:dyDescent="0.25"/>
  <cols>
    <col min="4" max="4" width="11.28515625" bestFit="1" customWidth="1"/>
  </cols>
  <sheetData>
    <row r="3" spans="3:4" ht="15.75" thickBot="1" x14ac:dyDescent="0.3"/>
    <row r="4" spans="3:4" ht="35.25" thickBot="1" x14ac:dyDescent="0.3">
      <c r="C4" s="2" t="s">
        <v>0</v>
      </c>
      <c r="D4" s="2" t="s">
        <v>4</v>
      </c>
    </row>
    <row r="5" spans="3:4" ht="18" thickBot="1" x14ac:dyDescent="0.3">
      <c r="C5" s="4" t="s">
        <v>18</v>
      </c>
      <c r="D5" s="4">
        <f>_xlfn.XLOOKUP(C5, Sheet1!E4:E12, Sheet1!I4:I12,"Not found")</f>
        <v>58000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3D9B-E1C4-48BC-BA55-FE06DA1BE23B}">
  <dimension ref="C3:D5"/>
  <sheetViews>
    <sheetView zoomScale="130" zoomScaleNormal="130" workbookViewId="0">
      <selection activeCell="D5" sqref="D5"/>
    </sheetView>
  </sheetViews>
  <sheetFormatPr defaultRowHeight="15" x14ac:dyDescent="0.25"/>
  <cols>
    <col min="4" max="4" width="11.28515625" bestFit="1" customWidth="1"/>
  </cols>
  <sheetData>
    <row r="3" spans="3:4" ht="15.75" thickBot="1" x14ac:dyDescent="0.3"/>
    <row r="4" spans="3:4" ht="52.5" thickBot="1" x14ac:dyDescent="0.3">
      <c r="C4" s="2" t="s">
        <v>41</v>
      </c>
      <c r="D4" s="2" t="s">
        <v>2</v>
      </c>
    </row>
    <row r="5" spans="3:4" ht="35.25" thickBot="1" x14ac:dyDescent="0.3">
      <c r="C5" s="4" t="s">
        <v>15</v>
      </c>
      <c r="D5" s="4" t="str">
        <f>_xlfn.XLOOKUP(C5,Sheet1!F5:F12,Sheet1!G5:G12,"Not found",0)</f>
        <v>IT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2C8F-41C5-4861-8E0F-C88A75036B71}">
  <dimension ref="A1"/>
  <sheetViews>
    <sheetView workbookViewId="0">
      <selection activeCell="E6" sqref="E6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84A1-8A83-450B-A45F-84C13499A4C6}">
  <dimension ref="D5:E7"/>
  <sheetViews>
    <sheetView workbookViewId="0">
      <selection activeCell="E8" sqref="E8"/>
    </sheetView>
  </sheetViews>
  <sheetFormatPr defaultRowHeight="15" x14ac:dyDescent="0.25"/>
  <cols>
    <col min="5" max="5" width="8.7109375" bestFit="1" customWidth="1"/>
  </cols>
  <sheetData>
    <row r="5" spans="4:5" ht="15.75" thickBot="1" x14ac:dyDescent="0.3"/>
    <row r="6" spans="4:5" ht="35.25" thickBot="1" x14ac:dyDescent="0.3">
      <c r="D6" s="2" t="s">
        <v>1</v>
      </c>
      <c r="E6" s="2" t="s">
        <v>3</v>
      </c>
    </row>
    <row r="7" spans="4:5" ht="35.25" thickBot="1" x14ac:dyDescent="0.3">
      <c r="D7" s="4" t="s">
        <v>15</v>
      </c>
      <c r="E7" s="4" t="str">
        <f>_xlfn.XLOOKUP(D7,Sheet1!F5:F12,Sheet1!H5:H12,"Not found",0)</f>
        <v>Bangalore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B3F3-4175-4C1E-99C1-53D248A00B6E}">
  <dimension ref="E4:F7"/>
  <sheetViews>
    <sheetView workbookViewId="0">
      <selection activeCell="F6" sqref="F6"/>
    </sheetView>
  </sheetViews>
  <sheetFormatPr defaultRowHeight="15" x14ac:dyDescent="0.25"/>
  <sheetData>
    <row r="4" spans="5:6" ht="15.75" thickBot="1" x14ac:dyDescent="0.3"/>
    <row r="5" spans="5:6" ht="35.25" thickBot="1" x14ac:dyDescent="0.3">
      <c r="E5" s="2" t="s">
        <v>2</v>
      </c>
      <c r="F5" s="2" t="s">
        <v>37</v>
      </c>
    </row>
    <row r="6" spans="5:6" ht="18" thickBot="1" x14ac:dyDescent="0.3">
      <c r="E6" s="4" t="s">
        <v>16</v>
      </c>
      <c r="F6" s="9">
        <f>_xlfn.XLOOKUP(Sheet15!E6,Sheet1!M4:R4,Sheet1!M5:R5,"Not found",0)</f>
        <v>0.12</v>
      </c>
    </row>
    <row r="7" spans="5:6" ht="18" thickBot="1" x14ac:dyDescent="0.3">
      <c r="F7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22A6-46C3-4AE3-9789-9391876F734A}">
  <dimension ref="E4:F6"/>
  <sheetViews>
    <sheetView workbookViewId="0">
      <selection activeCell="F7" sqref="F7"/>
    </sheetView>
  </sheetViews>
  <sheetFormatPr defaultRowHeight="15" x14ac:dyDescent="0.25"/>
  <sheetData>
    <row r="4" spans="5:6" ht="15.75" thickBot="1" x14ac:dyDescent="0.3"/>
    <row r="5" spans="5:6" ht="35.25" thickBot="1" x14ac:dyDescent="0.3">
      <c r="E5" s="2" t="s">
        <v>0</v>
      </c>
      <c r="F5" s="2" t="s">
        <v>42</v>
      </c>
    </row>
    <row r="6" spans="5:6" ht="18" thickBot="1" x14ac:dyDescent="0.3">
      <c r="E6" s="4" t="s">
        <v>18</v>
      </c>
      <c r="F6" s="4">
        <f>VLOOKUP(E6,Sheet1!E5:J12,5,0)*HLOOKUP(VLOOKUP(E6,Sheet1!E5:J12,3,0),Sheet1!M4:R5,2,0)</f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ASDC19</dc:creator>
  <cp:lastModifiedBy>ASDC19</cp:lastModifiedBy>
  <dcterms:created xsi:type="dcterms:W3CDTF">2026-05-03T09:55:15Z</dcterms:created>
  <dcterms:modified xsi:type="dcterms:W3CDTF">2026-05-03T11:39:16Z</dcterms:modified>
</cp:coreProperties>
</file>