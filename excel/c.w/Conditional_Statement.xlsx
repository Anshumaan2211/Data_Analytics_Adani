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8\Desktop\"/>
    </mc:Choice>
  </mc:AlternateContent>
  <xr:revisionPtr revIDLastSave="0" documentId="8_{DC5427E6-55ED-47D7-AF1A-13B19955EB9D}" xr6:coauthVersionLast="47" xr6:coauthVersionMax="47" xr10:uidLastSave="{00000000-0000-0000-0000-000000000000}"/>
  <bookViews>
    <workbookView xWindow="-120" yWindow="-120" windowWidth="20730" windowHeight="11040" xr2:uid="{B0D3E0BE-2AA5-4E28-ACDC-94BA5CA81E3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0" l="1"/>
  <c r="H10" i="10"/>
  <c r="H9" i="10"/>
  <c r="H8" i="10"/>
  <c r="H7" i="10"/>
  <c r="H11" i="9"/>
  <c r="H10" i="9"/>
  <c r="H9" i="9"/>
  <c r="H8" i="9"/>
  <c r="H10" i="8"/>
  <c r="H9" i="8"/>
  <c r="H8" i="8"/>
  <c r="H7" i="8"/>
  <c r="G10" i="7"/>
  <c r="G9" i="7"/>
  <c r="G8" i="7"/>
  <c r="G7" i="7"/>
  <c r="I10" i="6"/>
  <c r="I9" i="6"/>
  <c r="I8" i="6"/>
  <c r="I7" i="6"/>
  <c r="H12" i="5"/>
  <c r="H11" i="5"/>
  <c r="H10" i="5"/>
  <c r="H9" i="5"/>
  <c r="I10" i="4"/>
  <c r="I9" i="4"/>
  <c r="I8" i="4"/>
  <c r="I7" i="4"/>
  <c r="I11" i="3"/>
  <c r="I10" i="3"/>
  <c r="I9" i="3"/>
  <c r="I8" i="3"/>
  <c r="I7" i="3"/>
  <c r="I9" i="2"/>
  <c r="I8" i="2"/>
  <c r="I7" i="2"/>
  <c r="I6" i="2"/>
  <c r="H5" i="1"/>
  <c r="H6" i="1"/>
  <c r="H7" i="1"/>
  <c r="H8" i="1"/>
  <c r="H4" i="1"/>
</calcChain>
</file>

<file path=xl/sharedStrings.xml><?xml version="1.0" encoding="utf-8"?>
<sst xmlns="http://schemas.openxmlformats.org/spreadsheetml/2006/main" count="83" uniqueCount="49">
  <si>
    <t xml:space="preserve">name </t>
  </si>
  <si>
    <t xml:space="preserve">classes </t>
  </si>
  <si>
    <t>attedance</t>
  </si>
  <si>
    <t>performance</t>
  </si>
  <si>
    <t>rajesh</t>
  </si>
  <si>
    <t>sunita</t>
  </si>
  <si>
    <t>manoj</t>
  </si>
  <si>
    <t>kavita</t>
  </si>
  <si>
    <t>anil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</si>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</sst>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C0D63-8742-4004-997D-444826F0D695}" name="Table1" displayName="Table1" ref="E6:H11" totalsRowShown="0">
  <autoFilter ref="E6:H11" xr:uid="{484C0D63-8742-4004-997D-444826F0D695}"/>
  <tableColumns count="4">
    <tableColumn id="1" xr3:uid="{169B9AA4-7C6E-4BEC-8531-F93C79837037}" name="name "/>
    <tableColumn id="2" xr3:uid="{88342EE6-027E-4E44-ADE4-F3EEDE4D5CF1}" name="classes "/>
    <tableColumn id="3" xr3:uid="{8D1B3583-2DB5-48BB-88C4-E34FECBF3E9E}" name="attedance"/>
    <tableColumn id="4" xr3:uid="{DED1D240-2BC4-408E-9D08-5B49C28C7DCA}" name="performance">
      <calculatedColumnFormula>IF(AND(G7&gt;=90,F7&gt;=40),"Excellent",IF(G7&gt;=80,"Good","Need improvement"))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7EFA-418E-4DA4-A222-2962F29383F6}">
  <dimension ref="B2:H85"/>
  <sheetViews>
    <sheetView tabSelected="1" zoomScale="120" workbookViewId="0">
      <selection activeCell="C3" sqref="C3"/>
    </sheetView>
  </sheetViews>
  <sheetFormatPr defaultRowHeight="15" x14ac:dyDescent="0.25"/>
  <cols>
    <col min="2" max="2" width="8.7109375" bestFit="1" customWidth="1"/>
    <col min="3" max="3" width="9.85546875" bestFit="1" customWidth="1"/>
    <col min="4" max="4" width="12.140625" bestFit="1" customWidth="1"/>
    <col min="5" max="5" width="18.7109375" bestFit="1" customWidth="1"/>
  </cols>
  <sheetData>
    <row r="2" spans="5:8" ht="15.75" thickBot="1" x14ac:dyDescent="0.3"/>
    <row r="3" spans="5:8" ht="52.5" thickBot="1" x14ac:dyDescent="0.3">
      <c r="E3" s="1" t="s">
        <v>9</v>
      </c>
      <c r="F3" s="1" t="s">
        <v>10</v>
      </c>
      <c r="G3" s="1" t="s">
        <v>11</v>
      </c>
      <c r="H3" s="1" t="s">
        <v>12</v>
      </c>
    </row>
    <row r="4" spans="5:8" ht="18" thickBot="1" x14ac:dyDescent="0.3">
      <c r="E4" s="3">
        <v>1</v>
      </c>
      <c r="F4" s="3" t="s">
        <v>13</v>
      </c>
      <c r="G4" s="3">
        <v>78</v>
      </c>
      <c r="H4" s="3" t="str">
        <f>IF(G4&gt;=40,"pass","fail")</f>
        <v>pass</v>
      </c>
    </row>
    <row r="5" spans="5:8" ht="18" thickBot="1" x14ac:dyDescent="0.3">
      <c r="E5" s="5">
        <v>2</v>
      </c>
      <c r="F5" s="5" t="s">
        <v>14</v>
      </c>
      <c r="G5" s="5">
        <v>35</v>
      </c>
      <c r="H5" s="3" t="str">
        <f t="shared" ref="H5:H8" si="0">IF(G5&gt;=40,"pass","fail")</f>
        <v>fail</v>
      </c>
    </row>
    <row r="6" spans="5:8" ht="18" thickBot="1" x14ac:dyDescent="0.3">
      <c r="E6" s="3">
        <v>3</v>
      </c>
      <c r="F6" s="3" t="s">
        <v>15</v>
      </c>
      <c r="G6" s="3">
        <v>62</v>
      </c>
      <c r="H6" s="3" t="str">
        <f t="shared" si="0"/>
        <v>pass</v>
      </c>
    </row>
    <row r="7" spans="5:8" ht="18" thickBot="1" x14ac:dyDescent="0.3">
      <c r="E7" s="5">
        <v>4</v>
      </c>
      <c r="F7" s="5" t="s">
        <v>16</v>
      </c>
      <c r="G7" s="5">
        <v>40</v>
      </c>
      <c r="H7" s="3" t="str">
        <f t="shared" si="0"/>
        <v>pass</v>
      </c>
    </row>
    <row r="8" spans="5:8" ht="35.25" thickBot="1" x14ac:dyDescent="0.3">
      <c r="E8" s="3">
        <v>5</v>
      </c>
      <c r="F8" s="3" t="s">
        <v>17</v>
      </c>
      <c r="G8" s="3">
        <v>28</v>
      </c>
      <c r="H8" s="3" t="str">
        <f t="shared" si="0"/>
        <v>fail</v>
      </c>
    </row>
    <row r="80" ht="15.75" thickBot="1" x14ac:dyDescent="0.3"/>
    <row r="81" spans="2:5" ht="18" thickBot="1" x14ac:dyDescent="0.3">
      <c r="B81" s="1"/>
      <c r="C81" s="1"/>
      <c r="D81" s="1"/>
      <c r="E81" s="1"/>
    </row>
    <row r="82" spans="2:5" ht="18" thickBot="1" x14ac:dyDescent="0.3">
      <c r="B82" s="3"/>
      <c r="C82" s="3"/>
      <c r="D82" s="3"/>
      <c r="E82" s="3"/>
    </row>
    <row r="83" spans="2:5" ht="18" thickBot="1" x14ac:dyDescent="0.3">
      <c r="B83" s="5"/>
      <c r="C83" s="5"/>
      <c r="D83" s="5"/>
      <c r="E83" s="5"/>
    </row>
    <row r="84" spans="2:5" ht="18" thickBot="1" x14ac:dyDescent="0.3">
      <c r="B84" s="3"/>
      <c r="C84" s="3"/>
      <c r="D84" s="3"/>
      <c r="E84" s="3"/>
    </row>
    <row r="85" spans="2:5" ht="18" thickBot="1" x14ac:dyDescent="0.3">
      <c r="B85" s="5"/>
      <c r="C85" s="5"/>
      <c r="D85" s="5"/>
      <c r="E8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26D0-4D56-4340-A91A-04E91D43B577}">
  <dimension ref="G4:I9"/>
  <sheetViews>
    <sheetView workbookViewId="0">
      <selection activeCell="L9" sqref="L9"/>
    </sheetView>
  </sheetViews>
  <sheetFormatPr defaultRowHeight="15" x14ac:dyDescent="0.25"/>
  <sheetData>
    <row r="4" spans="7:9" ht="15.75" thickBot="1" x14ac:dyDescent="0.3"/>
    <row r="5" spans="7:9" ht="52.5" thickBot="1" x14ac:dyDescent="0.3">
      <c r="G5" s="1" t="s">
        <v>18</v>
      </c>
      <c r="H5" s="1" t="s">
        <v>19</v>
      </c>
      <c r="I5" s="1" t="s">
        <v>20</v>
      </c>
    </row>
    <row r="6" spans="7:9" ht="35.25" thickBot="1" x14ac:dyDescent="0.3">
      <c r="G6" s="3" t="s">
        <v>21</v>
      </c>
      <c r="H6" s="3">
        <v>28000</v>
      </c>
      <c r="I6" s="3" t="str">
        <f>IF(H6&gt;=40000,"bonus","no bonus")</f>
        <v>no bonus</v>
      </c>
    </row>
    <row r="7" spans="7:9" ht="35.25" thickBot="1" x14ac:dyDescent="0.3">
      <c r="G7" s="5" t="s">
        <v>22</v>
      </c>
      <c r="H7" s="5">
        <v>45000</v>
      </c>
      <c r="I7" s="3" t="str">
        <f>IF(H7&gt;=40000,"bonus","no bonus")</f>
        <v>bonus</v>
      </c>
    </row>
    <row r="8" spans="7:9" ht="18" thickBot="1" x14ac:dyDescent="0.3">
      <c r="G8" s="3" t="s">
        <v>23</v>
      </c>
      <c r="H8" s="3">
        <v>52000</v>
      </c>
      <c r="I8" s="3" t="str">
        <f>IF(H8&gt;=40000,"bonus","no bonus")</f>
        <v>bonus</v>
      </c>
    </row>
    <row r="9" spans="7:9" ht="35.25" thickBot="1" x14ac:dyDescent="0.3">
      <c r="G9" s="5" t="s">
        <v>24</v>
      </c>
      <c r="H9" s="5">
        <v>30000</v>
      </c>
      <c r="I9" s="3" t="str">
        <f>IF(H9&gt;=40000,"bonus","no bonus")</f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518F-4650-421C-A0C8-8176D5CFEA64}">
  <dimension ref="G5:I11"/>
  <sheetViews>
    <sheetView workbookViewId="0">
      <selection activeCell="G6" sqref="G6:I11"/>
    </sheetView>
  </sheetViews>
  <sheetFormatPr defaultRowHeight="15" x14ac:dyDescent="0.25"/>
  <sheetData>
    <row r="5" spans="7:9" ht="15.75" thickBot="1" x14ac:dyDescent="0.3"/>
    <row r="6" spans="7:9" ht="52.5" thickBot="1" x14ac:dyDescent="0.3">
      <c r="G6" s="1" t="s">
        <v>10</v>
      </c>
      <c r="H6" s="1" t="s">
        <v>11</v>
      </c>
      <c r="I6" s="1" t="s">
        <v>25</v>
      </c>
    </row>
    <row r="7" spans="7:9" ht="18" thickBot="1" x14ac:dyDescent="0.3">
      <c r="G7" s="3" t="s">
        <v>13</v>
      </c>
      <c r="H7" s="3">
        <v>82</v>
      </c>
      <c r="I7" s="3" t="str">
        <f>IF(H7&gt;=75,"A",IF(H7&gt;=60,"B",IF(H7&gt;=40,"C","Fail")))</f>
        <v>A</v>
      </c>
    </row>
    <row r="8" spans="7:9" ht="18" thickBot="1" x14ac:dyDescent="0.3">
      <c r="G8" s="5" t="s">
        <v>14</v>
      </c>
      <c r="H8" s="5">
        <v>67</v>
      </c>
      <c r="I8" s="5" t="str">
        <f>IF(H8&gt;=75,"A",IF(H8&gt;=60,"B",IF(H8&gt;=40,"C","Fail")))</f>
        <v>B</v>
      </c>
    </row>
    <row r="9" spans="7:9" ht="18" thickBot="1" x14ac:dyDescent="0.3">
      <c r="G9" s="3" t="s">
        <v>15</v>
      </c>
      <c r="H9" s="3">
        <v>45</v>
      </c>
      <c r="I9" s="5" t="str">
        <f>IF(H9&gt;=75,"A",IF(H9&gt;=60,"B",IF(H9&gt;=40,"C","Fail")))</f>
        <v>C</v>
      </c>
    </row>
    <row r="10" spans="7:9" ht="18" thickBot="1" x14ac:dyDescent="0.3">
      <c r="G10" s="5" t="s">
        <v>16</v>
      </c>
      <c r="H10" s="5">
        <v>33</v>
      </c>
      <c r="I10" s="5" t="str">
        <f>IF(H10&gt;=75,"A",IF(H10&gt;=60,"B",IF(H10&gt;=40,"C","Fail")))</f>
        <v>Fail</v>
      </c>
    </row>
    <row r="11" spans="7:9" ht="35.25" thickBot="1" x14ac:dyDescent="0.3">
      <c r="G11" s="3" t="s">
        <v>17</v>
      </c>
      <c r="H11" s="3">
        <v>90</v>
      </c>
      <c r="I11" s="5" t="str">
        <f>IF(H11&gt;=75,"A",IF(H11&gt;=60,"B",IF(H11&gt;=40,"C","Fail")))</f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7771-E77D-475F-A9F7-5F0D0B665794}">
  <dimension ref="F5:I10"/>
  <sheetViews>
    <sheetView topLeftCell="A4" workbookViewId="0">
      <selection activeCell="F6" sqref="F6:I10"/>
    </sheetView>
  </sheetViews>
  <sheetFormatPr defaultRowHeight="15" x14ac:dyDescent="0.25"/>
  <sheetData>
    <row r="5" spans="6:9" ht="15.75" thickBot="1" x14ac:dyDescent="0.3"/>
    <row r="6" spans="6:9" ht="52.5" thickBot="1" x14ac:dyDescent="0.3">
      <c r="F6" s="1" t="s">
        <v>26</v>
      </c>
      <c r="G6" s="1" t="s">
        <v>27</v>
      </c>
      <c r="H6" s="1" t="s">
        <v>28</v>
      </c>
      <c r="I6" s="1" t="s">
        <v>29</v>
      </c>
    </row>
    <row r="7" spans="6:9" ht="35.25" thickBot="1" x14ac:dyDescent="0.3">
      <c r="F7" s="3" t="s">
        <v>21</v>
      </c>
      <c r="G7" s="3">
        <v>25</v>
      </c>
      <c r="H7" s="3">
        <v>2</v>
      </c>
      <c r="I7" s="3" t="str">
        <f>IF(AND(G7&gt;=21,H7&gt;=1),"Eligible","Not Eligible")</f>
        <v>Eligible</v>
      </c>
    </row>
    <row r="8" spans="6:9" ht="52.5" thickBot="1" x14ac:dyDescent="0.3">
      <c r="F8" s="5" t="s">
        <v>22</v>
      </c>
      <c r="G8" s="5">
        <v>20</v>
      </c>
      <c r="H8" s="5">
        <v>1</v>
      </c>
      <c r="I8" s="3" t="str">
        <f>IF(AND(G8&gt;=21,H8&gt;=1),"Eligible","Not Eligible")</f>
        <v>Not Eligible</v>
      </c>
    </row>
    <row r="9" spans="6:9" ht="35.25" thickBot="1" x14ac:dyDescent="0.3">
      <c r="F9" s="3" t="s">
        <v>23</v>
      </c>
      <c r="G9" s="3">
        <v>30</v>
      </c>
      <c r="H9" s="3">
        <v>5</v>
      </c>
      <c r="I9" s="3" t="str">
        <f>IF(AND(G9&gt;=21,H9&gt;=1),"Eligible","Not Eligible")</f>
        <v>Eligible</v>
      </c>
    </row>
    <row r="10" spans="6:9" ht="52.5" thickBot="1" x14ac:dyDescent="0.3">
      <c r="F10" s="5" t="s">
        <v>24</v>
      </c>
      <c r="G10" s="5">
        <v>22</v>
      </c>
      <c r="H10" s="5">
        <v>0</v>
      </c>
      <c r="I10" s="3" t="str">
        <f>IF(AND(G10&gt;=21,H10&gt;=1),"Eligible","Not Eligible")</f>
        <v>Not 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DC90-CC20-487C-A560-B6870B172D56}">
  <dimension ref="E7:H12"/>
  <sheetViews>
    <sheetView workbookViewId="0">
      <selection activeCell="E8" sqref="E8:H12"/>
    </sheetView>
  </sheetViews>
  <sheetFormatPr defaultRowHeight="15" x14ac:dyDescent="0.25"/>
  <sheetData>
    <row r="7" spans="5:8" ht="15.75" thickBot="1" x14ac:dyDescent="0.3"/>
    <row r="8" spans="5:8" ht="69.75" thickBot="1" x14ac:dyDescent="0.3">
      <c r="E8" s="1" t="s">
        <v>10</v>
      </c>
      <c r="F8" s="1" t="s">
        <v>30</v>
      </c>
      <c r="G8" s="1" t="s">
        <v>31</v>
      </c>
      <c r="H8" s="1" t="s">
        <v>29</v>
      </c>
    </row>
    <row r="9" spans="5:8" ht="18" thickBot="1" x14ac:dyDescent="0.3">
      <c r="E9" s="3" t="s">
        <v>13</v>
      </c>
      <c r="F9" s="3">
        <v>85</v>
      </c>
      <c r="G9" s="3" t="s">
        <v>32</v>
      </c>
      <c r="H9" s="3" t="str">
        <f>IF(AND(F9&gt;=75,G9="yes"),"yes","no")</f>
        <v>yes</v>
      </c>
    </row>
    <row r="10" spans="5:8" ht="18" thickBot="1" x14ac:dyDescent="0.3">
      <c r="E10" s="5" t="s">
        <v>14</v>
      </c>
      <c r="F10" s="5">
        <v>72</v>
      </c>
      <c r="G10" s="5" t="s">
        <v>32</v>
      </c>
      <c r="H10" s="3" t="str">
        <f>IF(AND(F10&gt;=75,G10="yes"),"yes","no")</f>
        <v>no</v>
      </c>
    </row>
    <row r="11" spans="5:8" ht="18" thickBot="1" x14ac:dyDescent="0.3">
      <c r="E11" s="3" t="s">
        <v>15</v>
      </c>
      <c r="F11" s="3">
        <v>90</v>
      </c>
      <c r="G11" s="3" t="s">
        <v>33</v>
      </c>
      <c r="H11" s="3" t="str">
        <f>IF(AND(F11&gt;=75,G11="yes"),"yes","no")</f>
        <v>no</v>
      </c>
    </row>
    <row r="12" spans="5:8" ht="18" thickBot="1" x14ac:dyDescent="0.3">
      <c r="E12" s="5" t="s">
        <v>16</v>
      </c>
      <c r="F12" s="5">
        <v>80</v>
      </c>
      <c r="G12" s="5" t="s">
        <v>34</v>
      </c>
      <c r="H12" s="3" t="str">
        <f>IF(AND(F12&gt;=75,G12="yes"),"yes","no")</f>
        <v>no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CFF5-E1A2-418F-A7EE-DA7AACA62E64}">
  <dimension ref="F5:I10"/>
  <sheetViews>
    <sheetView topLeftCell="A7" workbookViewId="0">
      <selection activeCell="K7" sqref="K7"/>
    </sheetView>
  </sheetViews>
  <sheetFormatPr defaultRowHeight="15" x14ac:dyDescent="0.25"/>
  <sheetData>
    <row r="5" spans="6:9" ht="15.75" thickBot="1" x14ac:dyDescent="0.3"/>
    <row r="6" spans="6:9" ht="69.75" thickBot="1" x14ac:dyDescent="0.3">
      <c r="F6" s="1" t="s">
        <v>35</v>
      </c>
      <c r="G6" s="1" t="s">
        <v>36</v>
      </c>
      <c r="H6" s="1" t="s">
        <v>37</v>
      </c>
      <c r="I6" s="1" t="s">
        <v>38</v>
      </c>
    </row>
    <row r="7" spans="6:9" ht="69.75" thickBot="1" x14ac:dyDescent="0.3">
      <c r="F7" s="3" t="s">
        <v>39</v>
      </c>
      <c r="G7" s="3">
        <v>9000</v>
      </c>
      <c r="H7" s="3" t="s">
        <v>33</v>
      </c>
      <c r="I7" s="3" t="str">
        <f>IF(OR(G7&gt;=9000,H7="Yes"),"discount available","no discount")</f>
        <v>discount available</v>
      </c>
    </row>
    <row r="8" spans="6:9" ht="69.75" thickBot="1" x14ac:dyDescent="0.3">
      <c r="F8" s="5" t="s">
        <v>40</v>
      </c>
      <c r="G8" s="5">
        <v>12000</v>
      </c>
      <c r="H8" s="5" t="s">
        <v>33</v>
      </c>
      <c r="I8" s="3" t="str">
        <f>IF(OR(G8&gt;=9000,H8="Yes"),"discount available","no discount")</f>
        <v>discount available</v>
      </c>
    </row>
    <row r="9" spans="6:9" ht="69.75" thickBot="1" x14ac:dyDescent="0.3">
      <c r="F9" s="3" t="s">
        <v>15</v>
      </c>
      <c r="G9" s="3">
        <v>4000</v>
      </c>
      <c r="H9" s="3" t="s">
        <v>32</v>
      </c>
      <c r="I9" s="3" t="str">
        <f>IF(OR(G9&gt;=9000,H9="Yes"),"discount available","no discount")</f>
        <v>discount available</v>
      </c>
    </row>
    <row r="10" spans="6:9" ht="52.5" thickBot="1" x14ac:dyDescent="0.3">
      <c r="F10" s="5" t="s">
        <v>41</v>
      </c>
      <c r="G10" s="5">
        <v>3000</v>
      </c>
      <c r="H10" s="5" t="s">
        <v>33</v>
      </c>
      <c r="I10" s="3" t="str">
        <f>IF(OR(G10&gt;=9000,H10="Yes"),"discount available","no discount")</f>
        <v>no discount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BF08-D386-4842-AA57-E0870E117355}">
  <dimension ref="D5:G10"/>
  <sheetViews>
    <sheetView workbookViewId="0">
      <selection activeCell="D6" sqref="D6:G10"/>
    </sheetView>
  </sheetViews>
  <sheetFormatPr defaultRowHeight="15" x14ac:dyDescent="0.25"/>
  <sheetData>
    <row r="5" spans="4:7" ht="15.75" thickBot="1" x14ac:dyDescent="0.3"/>
    <row r="6" spans="4:7" ht="35.25" thickBot="1" x14ac:dyDescent="0.3">
      <c r="D6" s="1" t="s">
        <v>42</v>
      </c>
      <c r="E6" s="1" t="s">
        <v>19</v>
      </c>
      <c r="F6" s="1" t="s">
        <v>43</v>
      </c>
      <c r="G6" s="1" t="s">
        <v>44</v>
      </c>
    </row>
    <row r="7" spans="4:7" ht="18" thickBot="1" x14ac:dyDescent="0.3">
      <c r="D7" s="3" t="s">
        <v>21</v>
      </c>
      <c r="E7" s="3">
        <v>35000</v>
      </c>
      <c r="F7" s="3">
        <v>720</v>
      </c>
      <c r="G7" s="3" t="str">
        <f>IF(OR(E7&gt;=40000,F7&gt;=700),"yes","no")</f>
        <v>yes</v>
      </c>
    </row>
    <row r="8" spans="4:7" ht="35.25" thickBot="1" x14ac:dyDescent="0.3">
      <c r="D8" s="5" t="s">
        <v>22</v>
      </c>
      <c r="E8" s="5">
        <v>25000</v>
      </c>
      <c r="F8" s="5">
        <v>680</v>
      </c>
      <c r="G8" s="3" t="str">
        <f>IF(OR(E8&gt;=40000,F8&gt;=700),"yes","no")</f>
        <v>no</v>
      </c>
    </row>
    <row r="9" spans="4:7" ht="18" thickBot="1" x14ac:dyDescent="0.3">
      <c r="D9" s="3" t="s">
        <v>23</v>
      </c>
      <c r="E9" s="3">
        <v>50000</v>
      </c>
      <c r="F9" s="3">
        <v>650</v>
      </c>
      <c r="G9" s="3" t="str">
        <f>IF(OR(E9&gt;=40000,F9&gt;=700),"yes","no")</f>
        <v>yes</v>
      </c>
    </row>
    <row r="10" spans="4:7" ht="18" thickBot="1" x14ac:dyDescent="0.3">
      <c r="D10" s="5" t="s">
        <v>24</v>
      </c>
      <c r="E10" s="5">
        <v>20000</v>
      </c>
      <c r="F10" s="5">
        <v>600</v>
      </c>
      <c r="G10" s="3" t="str">
        <f>IF(OR(E10&gt;=40000,F10&gt;=700),"yes","no")</f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DDE7-6E80-4A48-910D-46D4CFE3F0D0}">
  <dimension ref="F5:H10"/>
  <sheetViews>
    <sheetView workbookViewId="0">
      <selection activeCell="F6" sqref="F6:H10"/>
    </sheetView>
  </sheetViews>
  <sheetFormatPr defaultRowHeight="15" x14ac:dyDescent="0.25"/>
  <sheetData>
    <row r="5" spans="6:8" ht="15.75" thickBot="1" x14ac:dyDescent="0.3"/>
    <row r="6" spans="6:8" ht="15.75" thickBot="1" x14ac:dyDescent="0.3">
      <c r="F6" s="6" t="s">
        <v>26</v>
      </c>
      <c r="G6" s="6" t="s">
        <v>45</v>
      </c>
      <c r="H6" s="6" t="s">
        <v>46</v>
      </c>
    </row>
    <row r="7" spans="6:8" ht="15.75" thickBot="1" x14ac:dyDescent="0.3">
      <c r="F7" s="2" t="s">
        <v>13</v>
      </c>
      <c r="G7" s="2" t="b">
        <v>1</v>
      </c>
      <c r="H7" s="2" t="str">
        <f>IF(G7=TRUE,"present","absent")</f>
        <v>present</v>
      </c>
    </row>
    <row r="8" spans="6:8" ht="15.75" thickBot="1" x14ac:dyDescent="0.3">
      <c r="F8" s="4" t="s">
        <v>14</v>
      </c>
      <c r="G8" s="4" t="b">
        <v>0</v>
      </c>
      <c r="H8" s="2" t="str">
        <f>IF(G8=TRUE,"present","absent")</f>
        <v>absent</v>
      </c>
    </row>
    <row r="9" spans="6:8" ht="15.75" thickBot="1" x14ac:dyDescent="0.3">
      <c r="F9" s="2" t="s">
        <v>15</v>
      </c>
      <c r="G9" s="2" t="b">
        <v>1</v>
      </c>
      <c r="H9" s="2" t="str">
        <f>IF(G9=TRUE,"present","absent")</f>
        <v>present</v>
      </c>
    </row>
    <row r="10" spans="6:8" ht="15.75" thickBot="1" x14ac:dyDescent="0.3">
      <c r="F10" s="4" t="s">
        <v>16</v>
      </c>
      <c r="G10" s="4" t="b">
        <v>0</v>
      </c>
      <c r="H10" s="2" t="str">
        <f>IF(G10=TRUE,"present","absent")</f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6C14-3717-4979-A7AB-666F9C5390E6}">
  <dimension ref="F6:H11"/>
  <sheetViews>
    <sheetView workbookViewId="0">
      <selection activeCell="F7" sqref="F7:H11"/>
    </sheetView>
  </sheetViews>
  <sheetFormatPr defaultRowHeight="15" x14ac:dyDescent="0.25"/>
  <sheetData>
    <row r="6" spans="6:8" ht="15.75" thickBot="1" x14ac:dyDescent="0.3"/>
    <row r="7" spans="6:8" ht="35.25" thickBot="1" x14ac:dyDescent="0.3">
      <c r="F7" s="1" t="s">
        <v>47</v>
      </c>
      <c r="G7" s="1" t="s">
        <v>48</v>
      </c>
      <c r="H7" s="1" t="s">
        <v>12</v>
      </c>
    </row>
    <row r="8" spans="6:8" ht="18" thickBot="1" x14ac:dyDescent="0.3">
      <c r="F8" s="3">
        <v>10</v>
      </c>
      <c r="G8" s="3">
        <v>2</v>
      </c>
      <c r="H8" s="3">
        <f>IFERROR(F8/G8,"Invalid")</f>
        <v>5</v>
      </c>
    </row>
    <row r="9" spans="6:8" ht="18" thickBot="1" x14ac:dyDescent="0.3">
      <c r="F9" s="5">
        <v>15</v>
      </c>
      <c r="G9" s="5">
        <v>0</v>
      </c>
      <c r="H9" s="3" t="str">
        <f>IFERROR(F9/G9,"Invalid")</f>
        <v>Invalid</v>
      </c>
    </row>
    <row r="10" spans="6:8" ht="18" thickBot="1" x14ac:dyDescent="0.3">
      <c r="F10" s="3">
        <v>20</v>
      </c>
      <c r="G10" s="3">
        <v>5</v>
      </c>
      <c r="H10" s="3">
        <f>IFERROR(F10/G10,"Invalid")</f>
        <v>4</v>
      </c>
    </row>
    <row r="11" spans="6:8" ht="18" thickBot="1" x14ac:dyDescent="0.3">
      <c r="F11" s="5">
        <v>8</v>
      </c>
      <c r="G11" s="5">
        <v>0</v>
      </c>
      <c r="H11" s="3" t="str">
        <f>IFERROR(F11/G11,"Invalid")</f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FF8E-4C88-4DCE-BC41-3C6E7D14AD5B}">
  <dimension ref="E6:H11"/>
  <sheetViews>
    <sheetView workbookViewId="0">
      <selection activeCell="E6" sqref="E6:H11"/>
    </sheetView>
  </sheetViews>
  <sheetFormatPr defaultRowHeight="15" x14ac:dyDescent="0.25"/>
  <sheetData>
    <row r="6" spans="5:8" x14ac:dyDescent="0.25">
      <c r="E6" t="s">
        <v>0</v>
      </c>
      <c r="F6" t="s">
        <v>1</v>
      </c>
      <c r="G6" t="s">
        <v>2</v>
      </c>
      <c r="H6" t="s">
        <v>3</v>
      </c>
    </row>
    <row r="7" spans="5:8" x14ac:dyDescent="0.25">
      <c r="E7" t="s">
        <v>4</v>
      </c>
      <c r="F7">
        <v>45</v>
      </c>
      <c r="G7">
        <v>92</v>
      </c>
      <c r="H7" t="str">
        <f>IF(AND(G7&gt;=90,F7&gt;=40),"Excellent",IF(G7&gt;=80,"Good","Need improvement"))</f>
        <v>Excellent</v>
      </c>
    </row>
    <row r="8" spans="5:8" x14ac:dyDescent="0.25">
      <c r="E8" t="s">
        <v>5</v>
      </c>
      <c r="F8">
        <v>38</v>
      </c>
      <c r="G8">
        <v>85</v>
      </c>
      <c r="H8" t="str">
        <f>IF(AND(G8&gt;=90,F8&gt;=40),"Excellent",IF(G8&gt;=80,"Good","Need improvement"))</f>
        <v>Good</v>
      </c>
    </row>
    <row r="9" spans="5:8" x14ac:dyDescent="0.25">
      <c r="E9" t="s">
        <v>6</v>
      </c>
      <c r="F9">
        <v>50</v>
      </c>
      <c r="G9">
        <v>95</v>
      </c>
      <c r="H9" t="str">
        <f>IF(AND(G9&gt;=90,F9&gt;=40),"Excellent",IF(G9&gt;=80,"Good","Need improvement"))</f>
        <v>Excellent</v>
      </c>
    </row>
    <row r="10" spans="5:8" x14ac:dyDescent="0.25">
      <c r="E10" t="s">
        <v>7</v>
      </c>
      <c r="F10">
        <v>30</v>
      </c>
      <c r="G10">
        <v>70</v>
      </c>
      <c r="H10" t="str">
        <f>IF(AND(G10&gt;=90,F10&gt;=40),"Excellent",IF(G10&gt;=80,"Good","Need improvement"))</f>
        <v>Need improvement</v>
      </c>
    </row>
    <row r="11" spans="5:8" x14ac:dyDescent="0.25">
      <c r="E11" t="s">
        <v>8</v>
      </c>
      <c r="F11">
        <v>42</v>
      </c>
      <c r="G11">
        <v>88</v>
      </c>
      <c r="H11" t="str">
        <f>IF(AND(G11&gt;=90,F11&gt;=40),"Excellent",IF(G11&gt;=80,"Good","Need improvement"))</f>
        <v>Good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ASDC58</dc:creator>
  <cp:lastModifiedBy>ASDC58</cp:lastModifiedBy>
  <dcterms:created xsi:type="dcterms:W3CDTF">2026-05-02T10:53:14Z</dcterms:created>
  <dcterms:modified xsi:type="dcterms:W3CDTF">2026-05-02T12:29:59Z</dcterms:modified>
</cp:coreProperties>
</file>